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oonyounglim/Desktop/CSO_전략기획/"/>
    </mc:Choice>
  </mc:AlternateContent>
  <xr:revisionPtr revIDLastSave="0" documentId="13_ncr:1_{52D0B98A-833A-8C48-8E99-0557876B4818}" xr6:coauthVersionLast="47" xr6:coauthVersionMax="47" xr10:uidLastSave="{00000000-0000-0000-0000-000000000000}"/>
  <bookViews>
    <workbookView xWindow="0" yWindow="600" windowWidth="20480" windowHeight="16560" xr2:uid="{00000000-000D-0000-FFFF-FFFF00000000}"/>
  </bookViews>
  <sheets>
    <sheet name="3월기준 (2)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2" i="1"/>
  <c r="C49" i="1"/>
  <c r="V24" i="1"/>
  <c r="V27" i="1" s="1"/>
  <c r="U24" i="1"/>
  <c r="U27" i="1" s="1"/>
  <c r="T24" i="1"/>
  <c r="T27" i="1" s="1"/>
  <c r="S24" i="1"/>
  <c r="R24" i="1"/>
  <c r="R27" i="1" s="1"/>
  <c r="Q24" i="1"/>
  <c r="Q27" i="1" s="1"/>
  <c r="P24" i="1"/>
  <c r="P27" i="1" s="1"/>
  <c r="O24" i="1"/>
  <c r="O27" i="1" s="1"/>
  <c r="N24" i="1"/>
  <c r="N27" i="1" s="1"/>
  <c r="M24" i="1"/>
  <c r="M27" i="1" s="1"/>
  <c r="L24" i="1"/>
  <c r="L27" i="1" s="1"/>
  <c r="K24" i="1"/>
  <c r="K27" i="1" s="1"/>
  <c r="J24" i="1"/>
  <c r="J27" i="1" s="1"/>
  <c r="I24" i="1"/>
  <c r="I27" i="1" s="1"/>
  <c r="H24" i="1"/>
  <c r="H27" i="1" s="1"/>
  <c r="G24" i="1"/>
  <c r="F24" i="1"/>
  <c r="F27" i="1" s="1"/>
  <c r="E24" i="1"/>
  <c r="D24" i="1"/>
  <c r="D27" i="1" s="1"/>
  <c r="C24" i="1"/>
  <c r="C27" i="1" s="1"/>
  <c r="V23" i="1"/>
  <c r="V26" i="1" s="1"/>
  <c r="U23" i="1"/>
  <c r="U26" i="1" s="1"/>
  <c r="T23" i="1"/>
  <c r="T26" i="1" s="1"/>
  <c r="S23" i="1"/>
  <c r="S26" i="1" s="1"/>
  <c r="R23" i="1"/>
  <c r="R26" i="1" s="1"/>
  <c r="Q23" i="1"/>
  <c r="Q26" i="1" s="1"/>
  <c r="P23" i="1"/>
  <c r="O23" i="1"/>
  <c r="O26" i="1" s="1"/>
  <c r="N23" i="1"/>
  <c r="N26" i="1" s="1"/>
  <c r="M23" i="1"/>
  <c r="M26" i="1" s="1"/>
  <c r="L23" i="1"/>
  <c r="L26" i="1" s="1"/>
  <c r="K23" i="1"/>
  <c r="K26" i="1" s="1"/>
  <c r="J23" i="1"/>
  <c r="J26" i="1" s="1"/>
  <c r="I23" i="1"/>
  <c r="I26" i="1" s="1"/>
  <c r="H23" i="1"/>
  <c r="H26" i="1" s="1"/>
  <c r="G23" i="1"/>
  <c r="G26" i="1" s="1"/>
  <c r="F23" i="1"/>
  <c r="F26" i="1" s="1"/>
  <c r="E23" i="1"/>
  <c r="E26" i="1" s="1"/>
  <c r="D23" i="1"/>
  <c r="C23" i="1"/>
  <c r="V22" i="1"/>
  <c r="V25" i="1" s="1"/>
  <c r="U22" i="1"/>
  <c r="U25" i="1" s="1"/>
  <c r="T22" i="1"/>
  <c r="T25" i="1" s="1"/>
  <c r="S22" i="1"/>
  <c r="S25" i="1" s="1"/>
  <c r="R22" i="1"/>
  <c r="R25" i="1" s="1"/>
  <c r="Q22" i="1"/>
  <c r="Q25" i="1" s="1"/>
  <c r="P22" i="1"/>
  <c r="P25" i="1" s="1"/>
  <c r="O22" i="1"/>
  <c r="O25" i="1" s="1"/>
  <c r="N22" i="1"/>
  <c r="N25" i="1" s="1"/>
  <c r="M22" i="1"/>
  <c r="L22" i="1"/>
  <c r="L25" i="1" s="1"/>
  <c r="K22" i="1"/>
  <c r="K25" i="1" s="1"/>
  <c r="J22" i="1"/>
  <c r="J25" i="1" s="1"/>
  <c r="I22" i="1"/>
  <c r="I25" i="1" s="1"/>
  <c r="H22" i="1"/>
  <c r="H25" i="1" s="1"/>
  <c r="G22" i="1"/>
  <c r="G25" i="1" s="1"/>
  <c r="F22" i="1"/>
  <c r="F25" i="1" s="1"/>
  <c r="E22" i="1"/>
  <c r="E25" i="1" s="1"/>
  <c r="D22" i="1"/>
  <c r="D25" i="1" s="1"/>
  <c r="C22" i="1"/>
  <c r="C25" i="1" s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V17" i="1"/>
  <c r="U17" i="1"/>
  <c r="T17" i="1"/>
  <c r="T20" i="1" s="1"/>
  <c r="S17" i="1"/>
  <c r="S20" i="1" s="1"/>
  <c r="R17" i="1"/>
  <c r="R20" i="1" s="1"/>
  <c r="Q17" i="1"/>
  <c r="Q20" i="1" s="1"/>
  <c r="P17" i="1"/>
  <c r="P20" i="1" s="1"/>
  <c r="O17" i="1"/>
  <c r="O20" i="1" s="1"/>
  <c r="N17" i="1"/>
  <c r="N20" i="1" s="1"/>
  <c r="M17" i="1"/>
  <c r="L17" i="1"/>
  <c r="K17" i="1"/>
  <c r="J17" i="1"/>
  <c r="I17" i="1"/>
  <c r="H17" i="1"/>
  <c r="H20" i="1" s="1"/>
  <c r="G17" i="1"/>
  <c r="G20" i="1" s="1"/>
  <c r="F17" i="1"/>
  <c r="F20" i="1" s="1"/>
  <c r="E17" i="1"/>
  <c r="E20" i="1" s="1"/>
  <c r="D17" i="1"/>
  <c r="D20" i="1" s="1"/>
  <c r="C17" i="1"/>
  <c r="C20" i="1" s="1"/>
  <c r="V16" i="1"/>
  <c r="U16" i="1"/>
  <c r="T16" i="1"/>
  <c r="S16" i="1"/>
  <c r="R16" i="1"/>
  <c r="Q16" i="1"/>
  <c r="P16" i="1"/>
  <c r="P19" i="1" s="1"/>
  <c r="O16" i="1"/>
  <c r="O19" i="1" s="1"/>
  <c r="N16" i="1"/>
  <c r="N19" i="1" s="1"/>
  <c r="M16" i="1"/>
  <c r="M19" i="1" s="1"/>
  <c r="L16" i="1"/>
  <c r="L19" i="1" s="1"/>
  <c r="K16" i="1"/>
  <c r="K19" i="1" s="1"/>
  <c r="J16" i="1"/>
  <c r="I16" i="1"/>
  <c r="H16" i="1"/>
  <c r="G16" i="1"/>
  <c r="F16" i="1"/>
  <c r="E16" i="1"/>
  <c r="D16" i="1"/>
  <c r="D19" i="1" s="1"/>
  <c r="C16" i="1"/>
  <c r="C19" i="1" s="1"/>
  <c r="V15" i="1"/>
  <c r="V18" i="1" s="1"/>
  <c r="U15" i="1"/>
  <c r="U18" i="1" s="1"/>
  <c r="T15" i="1"/>
  <c r="T18" i="1" s="1"/>
  <c r="S15" i="1"/>
  <c r="R15" i="1"/>
  <c r="Q15" i="1"/>
  <c r="P15" i="1"/>
  <c r="O15" i="1"/>
  <c r="N15" i="1"/>
  <c r="M15" i="1"/>
  <c r="M18" i="1" s="1"/>
  <c r="L15" i="1"/>
  <c r="L18" i="1" s="1"/>
  <c r="K15" i="1"/>
  <c r="K18" i="1" s="1"/>
  <c r="J15" i="1"/>
  <c r="J18" i="1" s="1"/>
  <c r="I15" i="1"/>
  <c r="I18" i="1" s="1"/>
  <c r="H15" i="1"/>
  <c r="H18" i="1" s="1"/>
  <c r="G15" i="1"/>
  <c r="F15" i="1"/>
  <c r="E15" i="1"/>
  <c r="D15" i="1"/>
  <c r="C15" i="1"/>
  <c r="C18" i="1" s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C13" i="1"/>
  <c r="R13" i="1" s="1"/>
  <c r="C7" i="1"/>
  <c r="R7" i="1" s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T35" i="1" l="1"/>
  <c r="C47" i="1"/>
  <c r="C48" i="1" s="1"/>
  <c r="C50" i="1" s="1"/>
  <c r="T7" i="1"/>
  <c r="P29" i="1"/>
  <c r="U7" i="1"/>
  <c r="D29" i="1"/>
  <c r="H7" i="1"/>
  <c r="J7" i="1"/>
  <c r="V33" i="1"/>
  <c r="W6" i="1"/>
  <c r="H35" i="1"/>
  <c r="M7" i="1"/>
  <c r="I31" i="1"/>
  <c r="N7" i="1"/>
  <c r="N29" i="1"/>
  <c r="F30" i="1"/>
  <c r="R30" i="1"/>
  <c r="J31" i="1"/>
  <c r="V31" i="1"/>
  <c r="I7" i="1"/>
  <c r="K7" i="1"/>
  <c r="O34" i="1"/>
  <c r="L7" i="1"/>
  <c r="L29" i="1"/>
  <c r="Q30" i="1"/>
  <c r="U31" i="1"/>
  <c r="S7" i="1"/>
  <c r="O29" i="1"/>
  <c r="G30" i="1"/>
  <c r="S30" i="1"/>
  <c r="H29" i="1"/>
  <c r="U33" i="1"/>
  <c r="I29" i="1"/>
  <c r="D35" i="1"/>
  <c r="J29" i="1"/>
  <c r="F31" i="1"/>
  <c r="N35" i="1"/>
  <c r="T33" i="1"/>
  <c r="D31" i="1"/>
  <c r="E31" i="1"/>
  <c r="G7" i="1"/>
  <c r="V13" i="1"/>
  <c r="K34" i="1"/>
  <c r="H33" i="1"/>
  <c r="P35" i="1"/>
  <c r="M34" i="1"/>
  <c r="N31" i="1"/>
  <c r="J13" i="1"/>
  <c r="N34" i="1"/>
  <c r="T29" i="1"/>
  <c r="U29" i="1"/>
  <c r="M13" i="1"/>
  <c r="V29" i="1"/>
  <c r="K30" i="1"/>
  <c r="W14" i="1"/>
  <c r="W21" i="1"/>
  <c r="L30" i="1"/>
  <c r="G13" i="1"/>
  <c r="H13" i="1"/>
  <c r="L34" i="1"/>
  <c r="I33" i="1"/>
  <c r="K13" i="1"/>
  <c r="S13" i="1"/>
  <c r="T13" i="1"/>
  <c r="M30" i="1"/>
  <c r="O35" i="1"/>
  <c r="I13" i="1"/>
  <c r="W24" i="1"/>
  <c r="O31" i="1"/>
  <c r="K29" i="1"/>
  <c r="P31" i="1"/>
  <c r="L13" i="1"/>
  <c r="N13" i="1"/>
  <c r="V7" i="1"/>
  <c r="U13" i="1"/>
  <c r="C31" i="1"/>
  <c r="F35" i="1"/>
  <c r="C33" i="1"/>
  <c r="R35" i="1"/>
  <c r="Q35" i="1"/>
  <c r="W16" i="1"/>
  <c r="E30" i="1"/>
  <c r="L31" i="1"/>
  <c r="L20" i="1"/>
  <c r="L35" i="1" s="1"/>
  <c r="Q29" i="1"/>
  <c r="Q18" i="1"/>
  <c r="I30" i="1"/>
  <c r="I19" i="1"/>
  <c r="M31" i="1"/>
  <c r="M20" i="1"/>
  <c r="M35" i="1" s="1"/>
  <c r="D18" i="1"/>
  <c r="J20" i="1"/>
  <c r="J35" i="1" s="1"/>
  <c r="W22" i="1"/>
  <c r="F29" i="1"/>
  <c r="F18" i="1"/>
  <c r="R18" i="1"/>
  <c r="R29" i="1"/>
  <c r="J30" i="1"/>
  <c r="J19" i="1"/>
  <c r="J34" i="1" s="1"/>
  <c r="V30" i="1"/>
  <c r="V19" i="1"/>
  <c r="V34" i="1" s="1"/>
  <c r="W23" i="1"/>
  <c r="G31" i="1"/>
  <c r="G27" i="1"/>
  <c r="G35" i="1" s="1"/>
  <c r="S31" i="1"/>
  <c r="S27" i="1"/>
  <c r="S35" i="1" s="1"/>
  <c r="C30" i="1"/>
  <c r="H19" i="1"/>
  <c r="H30" i="1"/>
  <c r="I20" i="1"/>
  <c r="I35" i="1" s="1"/>
  <c r="E18" i="1"/>
  <c r="E29" i="1"/>
  <c r="U19" i="1"/>
  <c r="U34" i="1" s="1"/>
  <c r="U30" i="1"/>
  <c r="G19" i="1"/>
  <c r="G34" i="1" s="1"/>
  <c r="G29" i="1"/>
  <c r="G18" i="1"/>
  <c r="S29" i="1"/>
  <c r="S18" i="1"/>
  <c r="M29" i="1"/>
  <c r="M25" i="1"/>
  <c r="M33" i="1" s="1"/>
  <c r="D30" i="1"/>
  <c r="D26" i="1"/>
  <c r="D34" i="1" s="1"/>
  <c r="P30" i="1"/>
  <c r="P26" i="1"/>
  <c r="P34" i="1" s="1"/>
  <c r="C26" i="1"/>
  <c r="W15" i="1"/>
  <c r="C29" i="1"/>
  <c r="K31" i="1"/>
  <c r="K20" i="1"/>
  <c r="K35" i="1" s="1"/>
  <c r="W17" i="1"/>
  <c r="E19" i="1"/>
  <c r="E34" i="1" s="1"/>
  <c r="T19" i="1"/>
  <c r="T34" i="1" s="1"/>
  <c r="T30" i="1"/>
  <c r="F19" i="1"/>
  <c r="F34" i="1" s="1"/>
  <c r="E27" i="1"/>
  <c r="E35" i="1" s="1"/>
  <c r="Q31" i="1"/>
  <c r="N18" i="1"/>
  <c r="R31" i="1"/>
  <c r="Q19" i="1"/>
  <c r="Q34" i="1" s="1"/>
  <c r="O18" i="1"/>
  <c r="R19" i="1"/>
  <c r="R34" i="1" s="1"/>
  <c r="U20" i="1"/>
  <c r="U35" i="1" s="1"/>
  <c r="N30" i="1"/>
  <c r="J33" i="1"/>
  <c r="P18" i="1"/>
  <c r="S19" i="1"/>
  <c r="S34" i="1" s="1"/>
  <c r="V20" i="1"/>
  <c r="V35" i="1" s="1"/>
  <c r="O30" i="1"/>
  <c r="K33" i="1"/>
  <c r="H31" i="1"/>
  <c r="T31" i="1"/>
  <c r="L33" i="1"/>
  <c r="C35" i="1"/>
  <c r="C10" i="1"/>
  <c r="D7" i="1"/>
  <c r="P7" i="1"/>
  <c r="D13" i="1"/>
  <c r="P13" i="1"/>
  <c r="O13" i="1"/>
  <c r="E7" i="1"/>
  <c r="Q7" i="1"/>
  <c r="E13" i="1"/>
  <c r="Q13" i="1"/>
  <c r="O7" i="1"/>
  <c r="F7" i="1"/>
  <c r="F13" i="1"/>
  <c r="D28" i="1" l="1"/>
  <c r="L28" i="1"/>
  <c r="V28" i="1"/>
  <c r="J28" i="1"/>
  <c r="W7" i="1"/>
  <c r="S28" i="1"/>
  <c r="F28" i="1"/>
  <c r="V32" i="1"/>
  <c r="G28" i="1"/>
  <c r="K28" i="1"/>
  <c r="O28" i="1"/>
  <c r="W26" i="1"/>
  <c r="M28" i="1"/>
  <c r="M32" i="1"/>
  <c r="W25" i="1"/>
  <c r="I28" i="1"/>
  <c r="W13" i="1"/>
  <c r="C11" i="1"/>
  <c r="K32" i="1"/>
  <c r="W31" i="1"/>
  <c r="U28" i="1"/>
  <c r="P28" i="1"/>
  <c r="N28" i="1"/>
  <c r="E28" i="1"/>
  <c r="T28" i="1"/>
  <c r="W19" i="1"/>
  <c r="R33" i="1"/>
  <c r="R32" i="1"/>
  <c r="F33" i="1"/>
  <c r="F32" i="1"/>
  <c r="W18" i="1"/>
  <c r="U32" i="1"/>
  <c r="W35" i="1"/>
  <c r="J32" i="1"/>
  <c r="D32" i="1"/>
  <c r="D33" i="1"/>
  <c r="W30" i="1"/>
  <c r="N33" i="1"/>
  <c r="N32" i="1"/>
  <c r="I34" i="1"/>
  <c r="I32" i="1"/>
  <c r="H28" i="1"/>
  <c r="L32" i="1"/>
  <c r="W20" i="1"/>
  <c r="H34" i="1"/>
  <c r="H32" i="1"/>
  <c r="Q33" i="1"/>
  <c r="Q32" i="1"/>
  <c r="G33" i="1"/>
  <c r="G32" i="1"/>
  <c r="O32" i="1"/>
  <c r="O33" i="1"/>
  <c r="C32" i="1"/>
  <c r="E33" i="1"/>
  <c r="E32" i="1"/>
  <c r="W27" i="1"/>
  <c r="C34" i="1"/>
  <c r="P32" i="1"/>
  <c r="P33" i="1"/>
  <c r="R10" i="1"/>
  <c r="F10" i="1"/>
  <c r="Q10" i="1"/>
  <c r="E10" i="1"/>
  <c r="O10" i="1"/>
  <c r="P10" i="1"/>
  <c r="D10" i="1"/>
  <c r="N10" i="1"/>
  <c r="M10" i="1"/>
  <c r="H10" i="1"/>
  <c r="G10" i="1"/>
  <c r="C9" i="1"/>
  <c r="V10" i="1"/>
  <c r="U10" i="1"/>
  <c r="L10" i="1"/>
  <c r="T10" i="1"/>
  <c r="S10" i="1"/>
  <c r="J10" i="1"/>
  <c r="I10" i="1"/>
  <c r="K10" i="1"/>
  <c r="C28" i="1"/>
  <c r="W29" i="1"/>
  <c r="C41" i="1" s="1"/>
  <c r="S33" i="1"/>
  <c r="S32" i="1"/>
  <c r="R28" i="1"/>
  <c r="Q28" i="1"/>
  <c r="T32" i="1"/>
  <c r="W10" i="1" l="1"/>
  <c r="W33" i="1"/>
  <c r="W28" i="1"/>
  <c r="W34" i="1"/>
  <c r="N9" i="1"/>
  <c r="J9" i="1"/>
  <c r="I9" i="1"/>
  <c r="M9" i="1"/>
  <c r="K9" i="1"/>
  <c r="V9" i="1"/>
  <c r="U9" i="1"/>
  <c r="L9" i="1"/>
  <c r="D9" i="1"/>
  <c r="T9" i="1"/>
  <c r="S9" i="1"/>
  <c r="R9" i="1"/>
  <c r="Q9" i="1"/>
  <c r="O9" i="1"/>
  <c r="F9" i="1"/>
  <c r="E9" i="1"/>
  <c r="P9" i="1"/>
  <c r="H9" i="1"/>
  <c r="C8" i="1"/>
  <c r="G9" i="1"/>
  <c r="V11" i="1"/>
  <c r="J11" i="1"/>
  <c r="F11" i="1"/>
  <c r="Q11" i="1"/>
  <c r="U11" i="1"/>
  <c r="I11" i="1"/>
  <c r="S11" i="1"/>
  <c r="R11" i="1"/>
  <c r="E11" i="1"/>
  <c r="T11" i="1"/>
  <c r="H11" i="1"/>
  <c r="G11" i="1"/>
  <c r="L11" i="1"/>
  <c r="D11" i="1"/>
  <c r="K11" i="1"/>
  <c r="N11" i="1"/>
  <c r="M11" i="1"/>
  <c r="C12" i="1"/>
  <c r="P11" i="1"/>
  <c r="O11" i="1"/>
  <c r="W32" i="1"/>
  <c r="C37" i="1" s="1"/>
  <c r="C38" i="1" s="1"/>
  <c r="C40" i="1" l="1"/>
  <c r="C43" i="1"/>
  <c r="C44" i="1" s="1"/>
  <c r="C45" i="1" s="1"/>
  <c r="C46" i="1" s="1"/>
  <c r="W9" i="1"/>
  <c r="W11" i="1"/>
  <c r="V8" i="1"/>
  <c r="J8" i="1"/>
  <c r="U8" i="1"/>
  <c r="I8" i="1"/>
  <c r="G8" i="1"/>
  <c r="F8" i="1"/>
  <c r="Q8" i="1"/>
  <c r="T8" i="1"/>
  <c r="H8" i="1"/>
  <c r="S8" i="1"/>
  <c r="R8" i="1"/>
  <c r="E8" i="1"/>
  <c r="P8" i="1"/>
  <c r="O8" i="1"/>
  <c r="N8" i="1"/>
  <c r="M8" i="1"/>
  <c r="D8" i="1"/>
  <c r="L8" i="1"/>
  <c r="K8" i="1"/>
  <c r="N12" i="1"/>
  <c r="V12" i="1"/>
  <c r="M12" i="1"/>
  <c r="U12" i="1"/>
  <c r="I12" i="1"/>
  <c r="L12" i="1"/>
  <c r="K12" i="1"/>
  <c r="J12" i="1"/>
  <c r="P12" i="1"/>
  <c r="O12" i="1"/>
  <c r="G12" i="1"/>
  <c r="H12" i="1"/>
  <c r="F12" i="1"/>
  <c r="T12" i="1"/>
  <c r="S12" i="1"/>
  <c r="E12" i="1"/>
  <c r="R12" i="1"/>
  <c r="Q12" i="1"/>
  <c r="D12" i="1"/>
  <c r="W8" i="1" l="1"/>
  <c r="W12" i="1"/>
</calcChain>
</file>

<file path=xl/sharedStrings.xml><?xml version="1.0" encoding="utf-8"?>
<sst xmlns="http://schemas.openxmlformats.org/spreadsheetml/2006/main" count="91" uniqueCount="79">
  <si>
    <t>평균 계약액</t>
  </si>
  <si>
    <t>CAC</t>
  </si>
  <si>
    <t>상담 1인 처리건수</t>
  </si>
  <si>
    <t>상담 -&gt;가능 전환율</t>
  </si>
  <si>
    <t>상담 -&gt;보상 전환율</t>
  </si>
  <si>
    <t>가능 DB 계약율</t>
  </si>
  <si>
    <t>보상 DB 계약율</t>
  </si>
  <si>
    <t>소개DB 획득율</t>
  </si>
  <si>
    <t>소개 DB 계약율</t>
  </si>
  <si>
    <t>기존 영업팀</t>
  </si>
  <si>
    <t>영업 신규</t>
  </si>
  <si>
    <t>1인당 1일 가능 DB+소개 DB 건</t>
  </si>
  <si>
    <t>1인당 1일 보상 DB 건</t>
  </si>
  <si>
    <t>영업</t>
  </si>
  <si>
    <t>기존영업 1인 월급</t>
  </si>
  <si>
    <t>신규영업 1인 월급</t>
  </si>
  <si>
    <t>성과수당률</t>
  </si>
  <si>
    <t>3월 기준</t>
  </si>
  <si>
    <t>3월 총량</t>
  </si>
  <si>
    <t>1일차</t>
  </si>
  <si>
    <t>2일차</t>
  </si>
  <si>
    <t>3일차</t>
  </si>
  <si>
    <t>4일차</t>
  </si>
  <si>
    <t>5일차</t>
  </si>
  <si>
    <t>6일차</t>
  </si>
  <si>
    <t>7일차</t>
  </si>
  <si>
    <t>8일차</t>
  </si>
  <si>
    <t>9일차</t>
  </si>
  <si>
    <t>10일차</t>
  </si>
  <si>
    <t>11일차</t>
  </si>
  <si>
    <t>12일차</t>
  </si>
  <si>
    <t>13일차</t>
  </si>
  <si>
    <t>14일차</t>
  </si>
  <si>
    <t>15일차</t>
  </si>
  <si>
    <t>16일차</t>
  </si>
  <si>
    <t>17일차</t>
  </si>
  <si>
    <t>18일차</t>
  </si>
  <si>
    <t>19일차</t>
  </si>
  <si>
    <t>20일차</t>
  </si>
  <si>
    <t>월 합계</t>
  </si>
  <si>
    <t>목표</t>
  </si>
  <si>
    <t>월 목표 계약금액</t>
  </si>
  <si>
    <t>목표 계약건수</t>
  </si>
  <si>
    <t>필요치</t>
  </si>
  <si>
    <t>필요 마케팅비(월)</t>
  </si>
  <si>
    <t>필요 DB 획득수(월)</t>
  </si>
  <si>
    <t>상담</t>
  </si>
  <si>
    <t>필요 상담건수(월)</t>
  </si>
  <si>
    <t>필요 상담인원(계산)</t>
  </si>
  <si>
    <t>필요 상담인원(올림)</t>
  </si>
  <si>
    <t>종합 계약전환율</t>
  </si>
  <si>
    <t>기존 영업</t>
  </si>
  <si>
    <t>인원</t>
  </si>
  <si>
    <t>가능DB</t>
  </si>
  <si>
    <t>보상DB</t>
  </si>
  <si>
    <t>소개DB</t>
  </si>
  <si>
    <t>가능DB 계약</t>
  </si>
  <si>
    <t>보상DB 계약</t>
  </si>
  <si>
    <t>소개DB 계약</t>
  </si>
  <si>
    <t>영업 신입</t>
  </si>
  <si>
    <t>유효 인원</t>
  </si>
  <si>
    <t>영업 합</t>
  </si>
  <si>
    <t>DB 합계</t>
  </si>
  <si>
    <t>계약 합계</t>
  </si>
  <si>
    <t>청구/손익</t>
  </si>
  <si>
    <t>월 예상 계약건수</t>
  </si>
  <si>
    <t>월 예상 계약금액</t>
  </si>
  <si>
    <t>계약금액 Gap</t>
  </si>
  <si>
    <t>월 예상 마케팅비</t>
  </si>
  <si>
    <t>월 인건비</t>
  </si>
  <si>
    <t>월 성과수당</t>
  </si>
  <si>
    <t>월 총비용</t>
  </si>
  <si>
    <t>월 예상이익</t>
  </si>
  <si>
    <t>이익률</t>
  </si>
  <si>
    <t>목표 달성 필요 영업인원(계산)</t>
  </si>
  <si>
    <t>목표 달성 필요 영업인원(올림)</t>
  </si>
  <si>
    <t>가용 유효 영업인원</t>
  </si>
  <si>
    <t>영업인원 Gap</t>
  </si>
  <si>
    <t>일 목표 계약금액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</si>
</sst>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"/>
  </numFmts>
  <fonts count="10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  <font>
      <b/>
      <sz val="10"/>
      <color rgb="FF1E293B"/>
      <name val="맑은 고딕"/>
      <family val="2"/>
      <charset val="129"/>
    </font>
    <font>
      <sz val="10"/>
      <color rgb="FF334155"/>
      <name val="맑은 고딕"/>
      <family val="2"/>
      <charset val="129"/>
    </font>
    <font>
      <b/>
      <sz val="11"/>
      <color rgb="FF0F172A"/>
      <name val="맑은 고딕"/>
      <family val="2"/>
      <charset val="129"/>
    </font>
    <font>
      <b/>
      <sz val="12"/>
      <color rgb="FF0B1324"/>
      <name val="맑은 고딕"/>
      <family val="2"/>
      <charset val="129"/>
    </font>
    <font>
      <b/>
      <sz val="10"/>
      <color rgb="FFFF0000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8F1FB"/>
      </patternFill>
    </fill>
    <fill>
      <patternFill patternType="solid">
        <fgColor rgb="FFFEF3C7"/>
      </patternFill>
    </fill>
    <fill>
      <patternFill patternType="solid">
        <fgColor rgb="FF334E68"/>
      </patternFill>
    </fill>
    <fill>
      <patternFill patternType="solid">
        <fgColor rgb="FF3B6A8A"/>
      </patternFill>
    </fill>
    <fill>
      <patternFill patternType="solid">
        <fgColor rgb="FFEEE8FF"/>
      </patternFill>
    </fill>
    <fill>
      <patternFill patternType="solid">
        <fgColor rgb="FFFFF4E5"/>
      </patternFill>
    </fill>
    <fill>
      <patternFill patternType="solid">
        <fgColor rgb="FFE8F2FF"/>
      </patternFill>
    </fill>
    <fill>
      <patternFill patternType="solid">
        <fgColor rgb="FFEAF7EF"/>
      </patternFill>
    </fill>
    <fill>
      <patternFill patternType="solid">
        <fgColor rgb="FFE6F9F4"/>
      </patternFill>
    </fill>
    <fill>
      <patternFill patternType="solid">
        <fgColor rgb="FFE2F6F5"/>
      </patternFill>
    </fill>
    <fill>
      <patternFill patternType="solid">
        <fgColor rgb="FFF8FAF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64748B"/>
      </left>
      <right style="thin">
        <color rgb="FFCBD5E1"/>
      </right>
      <top style="medium">
        <color rgb="FF64748B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64748B"/>
      </top>
      <bottom style="thin">
        <color rgb="FFCBD5E1"/>
      </bottom>
      <diagonal/>
    </border>
    <border>
      <left style="thin">
        <color rgb="FFCBD5E1"/>
      </left>
      <right style="medium">
        <color rgb="FF64748B"/>
      </right>
      <top style="medium">
        <color rgb="FF64748B"/>
      </top>
      <bottom style="thin">
        <color rgb="FFCBD5E1"/>
      </bottom>
      <diagonal/>
    </border>
    <border>
      <left style="medium">
        <color rgb="FF64748B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CBD5E1"/>
      </left>
      <right style="medium">
        <color rgb="FF64748B"/>
      </right>
      <top style="thin">
        <color rgb="FFCBD5E1"/>
      </top>
      <bottom style="medium">
        <color rgb="FF64748B"/>
      </bottom>
      <diagonal/>
    </border>
    <border>
      <left style="medium">
        <color rgb="FF64748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64748B"/>
      </right>
      <top style="thin">
        <color rgb="FFCBD5E1"/>
      </top>
      <bottom style="thin">
        <color rgb="FFCBD5E1"/>
      </bottom>
      <diagonal/>
    </border>
    <border>
      <left style="medium">
        <color rgb="FF64748B"/>
      </left>
      <right style="medium">
        <color rgb="FF64748B"/>
      </right>
      <top style="thin">
        <color rgb="FFCBD5E1"/>
      </top>
      <bottom style="thin">
        <color rgb="FFCBD5E1"/>
      </bottom>
      <diagonal/>
    </border>
    <border>
      <left style="medium">
        <color rgb="FF64748B"/>
      </left>
      <right style="medium">
        <color rgb="FF64748B"/>
      </right>
      <top style="medium">
        <color rgb="FF64748B"/>
      </top>
      <bottom style="thin">
        <color rgb="FFCBD5E1"/>
      </bottom>
      <diagonal/>
    </border>
    <border>
      <left style="medium">
        <color rgb="FF64748B"/>
      </left>
      <right style="medium">
        <color rgb="FF64748B"/>
      </right>
      <top style="thin">
        <color rgb="FFCBD5E1"/>
      </top>
      <bottom style="medium">
        <color rgb="FF64748B"/>
      </bottom>
      <diagonal/>
    </border>
  </borders>
  <cellStyleXfs count="3">
    <xf numFmtId="0" fontId="0" fillId="0" borderId="0">
      <alignment vertical="center"/>
    </xf>
    <xf numFmtId="176" fontId="2" fillId="0" borderId="0">
      <alignment vertical="center"/>
    </xf>
    <xf numFmtId="9" fontId="1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" xfId="0" applyBorder="1" applyAlignment="1"/>
    <xf numFmtId="176" fontId="5" fillId="3" borderId="5" xfId="1" applyFont="1" applyFill="1" applyBorder="1" applyAlignment="1">
      <alignment horizontal="center" vertical="center" wrapText="1"/>
    </xf>
    <xf numFmtId="176" fontId="5" fillId="3" borderId="6" xfId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9" fontId="5" fillId="3" borderId="6" xfId="2" applyFont="1" applyFill="1" applyBorder="1" applyAlignment="1">
      <alignment horizontal="center" vertical="center" wrapText="1"/>
    </xf>
    <xf numFmtId="9" fontId="5" fillId="3" borderId="7" xfId="2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176" fontId="4" fillId="6" borderId="3" xfId="1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176" fontId="5" fillId="13" borderId="1" xfId="1" applyFont="1" applyFill="1" applyBorder="1" applyAlignment="1">
      <alignment horizontal="left" vertical="center" wrapText="1"/>
    </xf>
    <xf numFmtId="176" fontId="6" fillId="4" borderId="1" xfId="1" applyFont="1" applyFill="1" applyBorder="1" applyAlignment="1">
      <alignment horizontal="right" vertical="center"/>
    </xf>
    <xf numFmtId="176" fontId="6" fillId="0" borderId="1" xfId="1" applyFont="1" applyBorder="1" applyAlignment="1">
      <alignment horizontal="right" vertical="center"/>
    </xf>
    <xf numFmtId="177" fontId="6" fillId="0" borderId="1" xfId="1" applyNumberFormat="1" applyFont="1" applyBorder="1" applyAlignment="1">
      <alignment horizontal="right" vertical="center"/>
    </xf>
    <xf numFmtId="176" fontId="0" fillId="0" borderId="1" xfId="1" applyFont="1" applyBorder="1">
      <alignment vertical="center"/>
    </xf>
    <xf numFmtId="1" fontId="6" fillId="0" borderId="1" xfId="1" applyNumberFormat="1" applyFont="1" applyBorder="1" applyAlignment="1">
      <alignment horizontal="right" vertical="center"/>
    </xf>
    <xf numFmtId="9" fontId="6" fillId="0" borderId="1" xfId="1" applyNumberFormat="1" applyFont="1" applyBorder="1" applyAlignment="1">
      <alignment horizontal="right" vertical="center"/>
    </xf>
    <xf numFmtId="176" fontId="5" fillId="10" borderId="1" xfId="1" applyFont="1" applyFill="1" applyBorder="1" applyAlignment="1">
      <alignment horizontal="left" vertical="center" wrapText="1"/>
    </xf>
    <xf numFmtId="177" fontId="5" fillId="0" borderId="10" xfId="1" applyNumberFormat="1" applyFont="1" applyBorder="1" applyAlignment="1">
      <alignment horizontal="right" vertical="center"/>
    </xf>
    <xf numFmtId="176" fontId="5" fillId="11" borderId="1" xfId="1" applyFont="1" applyFill="1" applyBorder="1" applyAlignment="1">
      <alignment horizontal="left" vertical="center" wrapText="1"/>
    </xf>
    <xf numFmtId="177" fontId="5" fillId="0" borderId="10" xfId="0" applyNumberFormat="1" applyFont="1" applyBorder="1" applyAlignment="1">
      <alignment horizontal="right" vertical="center"/>
    </xf>
    <xf numFmtId="176" fontId="5" fillId="12" borderId="1" xfId="1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0" fontId="5" fillId="12" borderId="6" xfId="0" applyFont="1" applyFill="1" applyBorder="1" applyAlignment="1">
      <alignment horizontal="left" vertical="center" wrapText="1"/>
    </xf>
    <xf numFmtId="177" fontId="6" fillId="0" borderId="6" xfId="0" applyNumberFormat="1" applyFont="1" applyBorder="1" applyAlignment="1">
      <alignment horizontal="right" vertical="center"/>
    </xf>
    <xf numFmtId="0" fontId="0" fillId="0" borderId="6" xfId="0" applyBorder="1" applyAlignment="1"/>
    <xf numFmtId="177" fontId="5" fillId="0" borderId="12" xfId="0" applyNumberFormat="1" applyFont="1" applyBorder="1" applyAlignment="1">
      <alignment horizontal="right" vertical="center"/>
    </xf>
    <xf numFmtId="0" fontId="0" fillId="0" borderId="1" xfId="0" applyBorder="1" applyAlignment="1">
      <alignment vertical="top" wrapText="1"/>
    </xf>
    <xf numFmtId="0" fontId="5" fillId="13" borderId="2" xfId="0" applyFont="1" applyFill="1" applyBorder="1" applyAlignment="1">
      <alignment horizontal="left" vertical="center" wrapText="1"/>
    </xf>
    <xf numFmtId="177" fontId="7" fillId="0" borderId="4" xfId="0" applyNumberFormat="1" applyFont="1" applyBorder="1" applyAlignment="1">
      <alignment horizontal="right" vertical="center"/>
    </xf>
    <xf numFmtId="0" fontId="5" fillId="13" borderId="8" xfId="0" applyFont="1" applyFill="1" applyBorder="1" applyAlignment="1">
      <alignment horizontal="left" vertical="center" wrapText="1"/>
    </xf>
    <xf numFmtId="176" fontId="8" fillId="0" borderId="9" xfId="0" applyNumberFormat="1" applyFont="1" applyBorder="1" applyAlignment="1">
      <alignment horizontal="right" vertical="center"/>
    </xf>
    <xf numFmtId="176" fontId="7" fillId="0" borderId="9" xfId="0" applyNumberFormat="1" applyFont="1" applyBorder="1" applyAlignment="1">
      <alignment horizontal="right" vertical="center"/>
    </xf>
    <xf numFmtId="9" fontId="8" fillId="0" borderId="9" xfId="0" applyNumberFormat="1" applyFont="1" applyBorder="1" applyAlignment="1">
      <alignment horizontal="right" vertical="center"/>
    </xf>
    <xf numFmtId="177" fontId="7" fillId="0" borderId="9" xfId="0" applyNumberFormat="1" applyFont="1" applyBorder="1" applyAlignment="1">
      <alignment horizontal="right" vertical="center"/>
    </xf>
    <xf numFmtId="1" fontId="7" fillId="0" borderId="9" xfId="0" applyNumberFormat="1" applyFont="1" applyBorder="1" applyAlignment="1">
      <alignment horizontal="right" vertical="center"/>
    </xf>
    <xf numFmtId="0" fontId="5" fillId="13" borderId="5" xfId="0" applyFont="1" applyFill="1" applyBorder="1" applyAlignment="1">
      <alignment horizontal="left" vertical="center" wrapText="1"/>
    </xf>
    <xf numFmtId="177" fontId="8" fillId="0" borderId="7" xfId="0" applyNumberFormat="1" applyFont="1" applyBorder="1" applyAlignment="1">
      <alignment horizontal="right" vertical="center"/>
    </xf>
    <xf numFmtId="0" fontId="5" fillId="8" borderId="8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5" fillId="10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5" fillId="9" borderId="8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176" fontId="9" fillId="14" borderId="1" xfId="1" applyFont="1" applyFill="1" applyBorder="1" applyAlignment="1">
      <alignment horizontal="left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9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"/>
  <sheetViews>
    <sheetView tabSelected="1" zoomScale="90" zoomScaleNormal="90" workbookViewId="0">
      <pane xSplit="2" ySplit="5" topLeftCell="C6" activePane="bottomRight" state="frozen"/>
      <selection pane="topRight"/>
      <selection pane="bottomLeft"/>
      <selection pane="bottomRight" activeCell="C13" sqref="C13"/>
    </sheetView>
  </sheetViews>
  <sheetFormatPr baseColWidth="10" defaultColWidth="8.83203125" defaultRowHeight="17"/>
  <cols>
    <col min="1" max="1" width="12" style="2" bestFit="1" customWidth="1"/>
    <col min="2" max="2" width="24" style="2" customWidth="1"/>
    <col min="3" max="3" width="14.1640625" style="2" bestFit="1" customWidth="1"/>
    <col min="4" max="4" width="11" style="2" bestFit="1" customWidth="1"/>
    <col min="5" max="5" width="11" style="2" customWidth="1"/>
    <col min="6" max="6" width="11" style="2" bestFit="1" customWidth="1"/>
    <col min="7" max="12" width="11" style="2" customWidth="1"/>
    <col min="13" max="13" width="11" style="2" bestFit="1" customWidth="1"/>
    <col min="14" max="22" width="11" style="2" customWidth="1"/>
    <col min="23" max="23" width="14" style="2" bestFit="1" customWidth="1"/>
    <col min="24" max="24" width="4.1640625" style="2" customWidth="1"/>
    <col min="25" max="27" width="11" style="2" bestFit="1" customWidth="1"/>
  </cols>
  <sheetData>
    <row r="1" spans="1:27" s="1" customFormat="1" ht="36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8" thickBot="1">
      <c r="A2" s="7">
        <v>150000</v>
      </c>
      <c r="B2" s="8">
        <v>3000</v>
      </c>
      <c r="C2" s="9">
        <v>60</v>
      </c>
      <c r="D2" s="10">
        <v>0.1</v>
      </c>
      <c r="E2" s="10">
        <v>0.4</v>
      </c>
      <c r="F2" s="10">
        <v>0.3</v>
      </c>
      <c r="G2" s="10">
        <v>0</v>
      </c>
      <c r="H2" s="10">
        <v>0.6</v>
      </c>
      <c r="I2" s="10">
        <v>0.6</v>
      </c>
      <c r="J2" s="8">
        <v>23</v>
      </c>
      <c r="K2" s="8">
        <v>13</v>
      </c>
      <c r="L2" s="8">
        <v>2</v>
      </c>
      <c r="M2" s="8">
        <v>1</v>
      </c>
      <c r="N2" s="10">
        <v>0.6</v>
      </c>
      <c r="O2" s="8">
        <v>0</v>
      </c>
      <c r="P2" s="8">
        <v>0</v>
      </c>
      <c r="Q2" s="11">
        <v>0</v>
      </c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24" customHeight="1" thickBot="1">
      <c r="A4" s="6"/>
      <c r="B4" s="6"/>
      <c r="C4" s="47" t="s">
        <v>17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13" t="s">
        <v>18</v>
      </c>
      <c r="X4" s="6"/>
      <c r="Y4" s="6"/>
      <c r="Z4" s="6"/>
      <c r="AA4" s="6"/>
    </row>
    <row r="5" spans="1:27" ht="24" customHeight="1">
      <c r="A5" s="6"/>
      <c r="B5" s="6"/>
      <c r="C5" s="14" t="s">
        <v>19</v>
      </c>
      <c r="D5" s="14" t="s">
        <v>20</v>
      </c>
      <c r="E5" s="14" t="s">
        <v>21</v>
      </c>
      <c r="F5" s="14" t="s">
        <v>22</v>
      </c>
      <c r="G5" s="14" t="s">
        <v>23</v>
      </c>
      <c r="H5" s="14" t="s">
        <v>24</v>
      </c>
      <c r="I5" s="14" t="s">
        <v>25</v>
      </c>
      <c r="J5" s="14" t="s">
        <v>26</v>
      </c>
      <c r="K5" s="14" t="s">
        <v>27</v>
      </c>
      <c r="L5" s="14" t="s">
        <v>28</v>
      </c>
      <c r="M5" s="14" t="s">
        <v>29</v>
      </c>
      <c r="N5" s="14" t="s">
        <v>30</v>
      </c>
      <c r="O5" s="14" t="s">
        <v>31</v>
      </c>
      <c r="P5" s="14" t="s">
        <v>32</v>
      </c>
      <c r="Q5" s="14" t="s">
        <v>33</v>
      </c>
      <c r="R5" s="14" t="s">
        <v>34</v>
      </c>
      <c r="S5" s="14" t="s">
        <v>35</v>
      </c>
      <c r="T5" s="14" t="s">
        <v>36</v>
      </c>
      <c r="U5" s="14" t="s">
        <v>37</v>
      </c>
      <c r="V5" s="14" t="s">
        <v>38</v>
      </c>
      <c r="W5" s="15" t="s">
        <v>39</v>
      </c>
      <c r="X5" s="6"/>
      <c r="Y5" s="6"/>
      <c r="Z5" s="6"/>
      <c r="AA5" s="6"/>
    </row>
    <row r="6" spans="1:27" ht="22" customHeight="1">
      <c r="A6" s="50" t="s">
        <v>40</v>
      </c>
      <c r="B6" s="16" t="s">
        <v>78</v>
      </c>
      <c r="C6" s="17">
        <v>5000000</v>
      </c>
      <c r="D6" s="18">
        <f t="shared" ref="D6:V6" si="0">$C$6</f>
        <v>5000000</v>
      </c>
      <c r="E6" s="18">
        <f t="shared" si="0"/>
        <v>5000000</v>
      </c>
      <c r="F6" s="18">
        <f t="shared" si="0"/>
        <v>5000000</v>
      </c>
      <c r="G6" s="18">
        <f t="shared" si="0"/>
        <v>5000000</v>
      </c>
      <c r="H6" s="18">
        <f t="shared" si="0"/>
        <v>5000000</v>
      </c>
      <c r="I6" s="18">
        <f t="shared" si="0"/>
        <v>5000000</v>
      </c>
      <c r="J6" s="18">
        <f t="shared" si="0"/>
        <v>5000000</v>
      </c>
      <c r="K6" s="18">
        <f t="shared" si="0"/>
        <v>5000000</v>
      </c>
      <c r="L6" s="18">
        <f t="shared" si="0"/>
        <v>5000000</v>
      </c>
      <c r="M6" s="18">
        <f t="shared" si="0"/>
        <v>5000000</v>
      </c>
      <c r="N6" s="18">
        <f t="shared" si="0"/>
        <v>5000000</v>
      </c>
      <c r="O6" s="18">
        <f t="shared" si="0"/>
        <v>5000000</v>
      </c>
      <c r="P6" s="18">
        <f t="shared" si="0"/>
        <v>5000000</v>
      </c>
      <c r="Q6" s="18">
        <f t="shared" si="0"/>
        <v>5000000</v>
      </c>
      <c r="R6" s="18">
        <f t="shared" si="0"/>
        <v>5000000</v>
      </c>
      <c r="S6" s="18">
        <f t="shared" si="0"/>
        <v>5000000</v>
      </c>
      <c r="T6" s="18">
        <f t="shared" si="0"/>
        <v>5000000</v>
      </c>
      <c r="U6" s="18">
        <f t="shared" si="0"/>
        <v>5000000</v>
      </c>
      <c r="V6" s="18">
        <f t="shared" si="0"/>
        <v>5000000</v>
      </c>
      <c r="W6" s="24">
        <f>SUM(C6:V6)</f>
        <v>100000000</v>
      </c>
      <c r="X6" s="6"/>
      <c r="Y6" s="6"/>
      <c r="Z6" s="6"/>
      <c r="AA6" s="6"/>
    </row>
    <row r="7" spans="1:27" ht="22" customHeight="1">
      <c r="A7" s="46"/>
      <c r="B7" s="16" t="s">
        <v>42</v>
      </c>
      <c r="C7" s="19">
        <f>IFERROR(C6/$A$2,0)</f>
        <v>33.333333333333336</v>
      </c>
      <c r="D7" s="19">
        <f t="shared" ref="D7:V7" si="1">$C$7</f>
        <v>33.333333333333336</v>
      </c>
      <c r="E7" s="19">
        <f t="shared" si="1"/>
        <v>33.333333333333336</v>
      </c>
      <c r="F7" s="19">
        <f t="shared" si="1"/>
        <v>33.333333333333336</v>
      </c>
      <c r="G7" s="19">
        <f t="shared" si="1"/>
        <v>33.333333333333336</v>
      </c>
      <c r="H7" s="19">
        <f t="shared" si="1"/>
        <v>33.333333333333336</v>
      </c>
      <c r="I7" s="19">
        <f t="shared" si="1"/>
        <v>33.333333333333336</v>
      </c>
      <c r="J7" s="19">
        <f t="shared" si="1"/>
        <v>33.333333333333336</v>
      </c>
      <c r="K7" s="19">
        <f t="shared" si="1"/>
        <v>33.333333333333336</v>
      </c>
      <c r="L7" s="19">
        <f t="shared" si="1"/>
        <v>33.333333333333336</v>
      </c>
      <c r="M7" s="19">
        <f t="shared" si="1"/>
        <v>33.333333333333336</v>
      </c>
      <c r="N7" s="19">
        <f t="shared" si="1"/>
        <v>33.333333333333336</v>
      </c>
      <c r="O7" s="19">
        <f t="shared" si="1"/>
        <v>33.333333333333336</v>
      </c>
      <c r="P7" s="19">
        <f t="shared" si="1"/>
        <v>33.333333333333336</v>
      </c>
      <c r="Q7" s="19">
        <f t="shared" si="1"/>
        <v>33.333333333333336</v>
      </c>
      <c r="R7" s="19">
        <f t="shared" si="1"/>
        <v>33.333333333333336</v>
      </c>
      <c r="S7" s="19">
        <f t="shared" si="1"/>
        <v>33.333333333333336</v>
      </c>
      <c r="T7" s="19">
        <f t="shared" si="1"/>
        <v>33.333333333333336</v>
      </c>
      <c r="U7" s="19">
        <f t="shared" si="1"/>
        <v>33.333333333333336</v>
      </c>
      <c r="V7" s="19">
        <f t="shared" si="1"/>
        <v>33.333333333333336</v>
      </c>
      <c r="W7" s="24">
        <f>SUM(C7:V7)</f>
        <v>666.66666666666674</v>
      </c>
      <c r="X7" s="6"/>
      <c r="Y7" s="6"/>
      <c r="Z7" s="6"/>
      <c r="AA7" s="6"/>
    </row>
    <row r="8" spans="1:27" ht="22" customHeight="1">
      <c r="A8" s="45" t="s">
        <v>43</v>
      </c>
      <c r="B8" s="16" t="s">
        <v>44</v>
      </c>
      <c r="C8" s="18">
        <f>C9*$B$2</f>
        <v>848484.84848484851</v>
      </c>
      <c r="D8" s="18">
        <f t="shared" ref="D8:V8" si="2">$C$8</f>
        <v>848484.84848484851</v>
      </c>
      <c r="E8" s="18">
        <f t="shared" si="2"/>
        <v>848484.84848484851</v>
      </c>
      <c r="F8" s="18">
        <f t="shared" si="2"/>
        <v>848484.84848484851</v>
      </c>
      <c r="G8" s="18">
        <f t="shared" si="2"/>
        <v>848484.84848484851</v>
      </c>
      <c r="H8" s="18">
        <f t="shared" si="2"/>
        <v>848484.84848484851</v>
      </c>
      <c r="I8" s="18">
        <f t="shared" si="2"/>
        <v>848484.84848484851</v>
      </c>
      <c r="J8" s="18">
        <f t="shared" si="2"/>
        <v>848484.84848484851</v>
      </c>
      <c r="K8" s="18">
        <f t="shared" si="2"/>
        <v>848484.84848484851</v>
      </c>
      <c r="L8" s="18">
        <f t="shared" si="2"/>
        <v>848484.84848484851</v>
      </c>
      <c r="M8" s="18">
        <f t="shared" si="2"/>
        <v>848484.84848484851</v>
      </c>
      <c r="N8" s="18">
        <f t="shared" si="2"/>
        <v>848484.84848484851</v>
      </c>
      <c r="O8" s="18">
        <f t="shared" si="2"/>
        <v>848484.84848484851</v>
      </c>
      <c r="P8" s="18">
        <f t="shared" si="2"/>
        <v>848484.84848484851</v>
      </c>
      <c r="Q8" s="18">
        <f t="shared" si="2"/>
        <v>848484.84848484851</v>
      </c>
      <c r="R8" s="18">
        <f t="shared" si="2"/>
        <v>848484.84848484851</v>
      </c>
      <c r="S8" s="18">
        <f t="shared" si="2"/>
        <v>848484.84848484851</v>
      </c>
      <c r="T8" s="18">
        <f t="shared" si="2"/>
        <v>848484.84848484851</v>
      </c>
      <c r="U8" s="18">
        <f t="shared" si="2"/>
        <v>848484.84848484851</v>
      </c>
      <c r="V8" s="18">
        <f t="shared" si="2"/>
        <v>848484.84848484851</v>
      </c>
      <c r="W8" s="24">
        <f t="shared" ref="W8:W13" si="3">SUM(C8:V8)</f>
        <v>16969696.969696961</v>
      </c>
      <c r="X8" s="6"/>
      <c r="Y8" s="6"/>
      <c r="Z8" s="6"/>
      <c r="AA8" s="6"/>
    </row>
    <row r="9" spans="1:27" ht="22" customHeight="1">
      <c r="A9" s="46"/>
      <c r="B9" s="16" t="s">
        <v>45</v>
      </c>
      <c r="C9" s="19">
        <f>C10*($D$2+$E$2+$D$2*$H$2)</f>
        <v>282.82828282828285</v>
      </c>
      <c r="D9" s="19">
        <f t="shared" ref="D9:V9" si="4">$C$9</f>
        <v>282.82828282828285</v>
      </c>
      <c r="E9" s="19">
        <f t="shared" si="4"/>
        <v>282.82828282828285</v>
      </c>
      <c r="F9" s="19">
        <f t="shared" si="4"/>
        <v>282.82828282828285</v>
      </c>
      <c r="G9" s="19">
        <f t="shared" si="4"/>
        <v>282.82828282828285</v>
      </c>
      <c r="H9" s="19">
        <f t="shared" si="4"/>
        <v>282.82828282828285</v>
      </c>
      <c r="I9" s="19">
        <f t="shared" si="4"/>
        <v>282.82828282828285</v>
      </c>
      <c r="J9" s="19">
        <f t="shared" si="4"/>
        <v>282.82828282828285</v>
      </c>
      <c r="K9" s="19">
        <f t="shared" si="4"/>
        <v>282.82828282828285</v>
      </c>
      <c r="L9" s="19">
        <f t="shared" si="4"/>
        <v>282.82828282828285</v>
      </c>
      <c r="M9" s="19">
        <f t="shared" si="4"/>
        <v>282.82828282828285</v>
      </c>
      <c r="N9" s="19">
        <f t="shared" si="4"/>
        <v>282.82828282828285</v>
      </c>
      <c r="O9" s="19">
        <f t="shared" si="4"/>
        <v>282.82828282828285</v>
      </c>
      <c r="P9" s="19">
        <f t="shared" si="4"/>
        <v>282.82828282828285</v>
      </c>
      <c r="Q9" s="19">
        <f t="shared" si="4"/>
        <v>282.82828282828285</v>
      </c>
      <c r="R9" s="19">
        <f t="shared" si="4"/>
        <v>282.82828282828285</v>
      </c>
      <c r="S9" s="19">
        <f t="shared" si="4"/>
        <v>282.82828282828285</v>
      </c>
      <c r="T9" s="19">
        <f t="shared" si="4"/>
        <v>282.82828282828285</v>
      </c>
      <c r="U9" s="19">
        <f t="shared" si="4"/>
        <v>282.82828282828285</v>
      </c>
      <c r="V9" s="19">
        <f t="shared" si="4"/>
        <v>282.82828282828285</v>
      </c>
      <c r="W9" s="24">
        <f t="shared" si="3"/>
        <v>5656.5656565656554</v>
      </c>
      <c r="X9" s="6"/>
      <c r="Y9" s="6"/>
      <c r="Z9" s="6"/>
      <c r="AA9" s="6"/>
    </row>
    <row r="10" spans="1:27" ht="22" customHeight="1">
      <c r="A10" s="53" t="s">
        <v>46</v>
      </c>
      <c r="B10" s="16" t="s">
        <v>47</v>
      </c>
      <c r="C10" s="19">
        <f>IFERROR(C7/C13,0)</f>
        <v>505.05050505050508</v>
      </c>
      <c r="D10" s="19">
        <f t="shared" ref="D10:V10" si="5">$C$10</f>
        <v>505.05050505050508</v>
      </c>
      <c r="E10" s="19">
        <f t="shared" si="5"/>
        <v>505.05050505050508</v>
      </c>
      <c r="F10" s="19">
        <f t="shared" si="5"/>
        <v>505.05050505050508</v>
      </c>
      <c r="G10" s="19">
        <f t="shared" si="5"/>
        <v>505.05050505050508</v>
      </c>
      <c r="H10" s="19">
        <f t="shared" si="5"/>
        <v>505.05050505050508</v>
      </c>
      <c r="I10" s="19">
        <f t="shared" si="5"/>
        <v>505.05050505050508</v>
      </c>
      <c r="J10" s="19">
        <f t="shared" si="5"/>
        <v>505.05050505050508</v>
      </c>
      <c r="K10" s="19">
        <f t="shared" si="5"/>
        <v>505.05050505050508</v>
      </c>
      <c r="L10" s="19">
        <f t="shared" si="5"/>
        <v>505.05050505050508</v>
      </c>
      <c r="M10" s="19">
        <f t="shared" si="5"/>
        <v>505.05050505050508</v>
      </c>
      <c r="N10" s="19">
        <f t="shared" si="5"/>
        <v>505.05050505050508</v>
      </c>
      <c r="O10" s="19">
        <f t="shared" si="5"/>
        <v>505.05050505050508</v>
      </c>
      <c r="P10" s="19">
        <f t="shared" si="5"/>
        <v>505.05050505050508</v>
      </c>
      <c r="Q10" s="19">
        <f t="shared" si="5"/>
        <v>505.05050505050508</v>
      </c>
      <c r="R10" s="19">
        <f t="shared" si="5"/>
        <v>505.05050505050508</v>
      </c>
      <c r="S10" s="19">
        <f t="shared" si="5"/>
        <v>505.05050505050508</v>
      </c>
      <c r="T10" s="19">
        <f t="shared" si="5"/>
        <v>505.05050505050508</v>
      </c>
      <c r="U10" s="19">
        <f t="shared" si="5"/>
        <v>505.05050505050508</v>
      </c>
      <c r="V10" s="19">
        <f t="shared" si="5"/>
        <v>505.05050505050508</v>
      </c>
      <c r="W10" s="24">
        <f t="shared" si="3"/>
        <v>10101.010101010104</v>
      </c>
      <c r="X10" s="20"/>
      <c r="Y10" s="20"/>
      <c r="Z10" s="20"/>
      <c r="AA10" s="20"/>
    </row>
    <row r="11" spans="1:27" ht="22" customHeight="1">
      <c r="A11" s="46"/>
      <c r="B11" s="16" t="s">
        <v>48</v>
      </c>
      <c r="C11" s="19">
        <f>IFERROR(C10/$C$2,0)</f>
        <v>8.4175084175084187</v>
      </c>
      <c r="D11" s="19">
        <f t="shared" ref="D11:V11" si="6">$C$11</f>
        <v>8.4175084175084187</v>
      </c>
      <c r="E11" s="19">
        <f t="shared" si="6"/>
        <v>8.4175084175084187</v>
      </c>
      <c r="F11" s="19">
        <f t="shared" si="6"/>
        <v>8.4175084175084187</v>
      </c>
      <c r="G11" s="19">
        <f t="shared" si="6"/>
        <v>8.4175084175084187</v>
      </c>
      <c r="H11" s="19">
        <f t="shared" si="6"/>
        <v>8.4175084175084187</v>
      </c>
      <c r="I11" s="19">
        <f t="shared" si="6"/>
        <v>8.4175084175084187</v>
      </c>
      <c r="J11" s="19">
        <f t="shared" si="6"/>
        <v>8.4175084175084187</v>
      </c>
      <c r="K11" s="19">
        <f t="shared" si="6"/>
        <v>8.4175084175084187</v>
      </c>
      <c r="L11" s="19">
        <f t="shared" si="6"/>
        <v>8.4175084175084187</v>
      </c>
      <c r="M11" s="19">
        <f t="shared" si="6"/>
        <v>8.4175084175084187</v>
      </c>
      <c r="N11" s="19">
        <f t="shared" si="6"/>
        <v>8.4175084175084187</v>
      </c>
      <c r="O11" s="19">
        <f t="shared" si="6"/>
        <v>8.4175084175084187</v>
      </c>
      <c r="P11" s="19">
        <f t="shared" si="6"/>
        <v>8.4175084175084187</v>
      </c>
      <c r="Q11" s="19">
        <f t="shared" si="6"/>
        <v>8.4175084175084187</v>
      </c>
      <c r="R11" s="19">
        <f t="shared" si="6"/>
        <v>8.4175084175084187</v>
      </c>
      <c r="S11" s="19">
        <f t="shared" si="6"/>
        <v>8.4175084175084187</v>
      </c>
      <c r="T11" s="19">
        <f t="shared" si="6"/>
        <v>8.4175084175084187</v>
      </c>
      <c r="U11" s="19">
        <f t="shared" si="6"/>
        <v>8.4175084175084187</v>
      </c>
      <c r="V11" s="19">
        <f t="shared" si="6"/>
        <v>8.4175084175084187</v>
      </c>
      <c r="W11" s="24">
        <f t="shared" si="3"/>
        <v>168.35016835016839</v>
      </c>
      <c r="X11" s="6"/>
      <c r="Y11" s="6"/>
      <c r="Z11" s="6"/>
      <c r="AA11" s="6"/>
    </row>
    <row r="12" spans="1:27" ht="22" customHeight="1">
      <c r="A12" s="46"/>
      <c r="B12" s="16" t="s">
        <v>49</v>
      </c>
      <c r="C12" s="21">
        <f>ROUNDUP(C11,0)</f>
        <v>9</v>
      </c>
      <c r="D12" s="21">
        <f t="shared" ref="D12:V12" si="7">$C$12</f>
        <v>9</v>
      </c>
      <c r="E12" s="21">
        <f t="shared" si="7"/>
        <v>9</v>
      </c>
      <c r="F12" s="21">
        <f t="shared" si="7"/>
        <v>9</v>
      </c>
      <c r="G12" s="21">
        <f t="shared" si="7"/>
        <v>9</v>
      </c>
      <c r="H12" s="21">
        <f t="shared" si="7"/>
        <v>9</v>
      </c>
      <c r="I12" s="21">
        <f t="shared" si="7"/>
        <v>9</v>
      </c>
      <c r="J12" s="21">
        <f t="shared" si="7"/>
        <v>9</v>
      </c>
      <c r="K12" s="21">
        <f t="shared" si="7"/>
        <v>9</v>
      </c>
      <c r="L12" s="21">
        <f t="shared" si="7"/>
        <v>9</v>
      </c>
      <c r="M12" s="21">
        <f t="shared" si="7"/>
        <v>9</v>
      </c>
      <c r="N12" s="21">
        <f t="shared" si="7"/>
        <v>9</v>
      </c>
      <c r="O12" s="21">
        <f t="shared" si="7"/>
        <v>9</v>
      </c>
      <c r="P12" s="21">
        <f t="shared" si="7"/>
        <v>9</v>
      </c>
      <c r="Q12" s="21">
        <f t="shared" si="7"/>
        <v>9</v>
      </c>
      <c r="R12" s="21">
        <f t="shared" si="7"/>
        <v>9</v>
      </c>
      <c r="S12" s="21">
        <f t="shared" si="7"/>
        <v>9</v>
      </c>
      <c r="T12" s="21">
        <f t="shared" si="7"/>
        <v>9</v>
      </c>
      <c r="U12" s="21">
        <f t="shared" si="7"/>
        <v>9</v>
      </c>
      <c r="V12" s="21">
        <f t="shared" si="7"/>
        <v>9</v>
      </c>
      <c r="W12" s="24">
        <f t="shared" si="3"/>
        <v>180</v>
      </c>
      <c r="X12" s="6"/>
      <c r="Y12" s="6"/>
      <c r="Z12" s="6"/>
      <c r="AA12" s="6"/>
    </row>
    <row r="13" spans="1:27" ht="22" customHeight="1">
      <c r="A13" s="46"/>
      <c r="B13" s="16" t="s">
        <v>50</v>
      </c>
      <c r="C13" s="22">
        <f>($D$2*$F$2)+($E$2*$G$2)+($D$2*$H$2*$I$2)</f>
        <v>6.6000000000000003E-2</v>
      </c>
      <c r="D13" s="22">
        <f t="shared" ref="D13:V13" si="8">$C$13</f>
        <v>6.6000000000000003E-2</v>
      </c>
      <c r="E13" s="22">
        <f t="shared" si="8"/>
        <v>6.6000000000000003E-2</v>
      </c>
      <c r="F13" s="22">
        <f t="shared" si="8"/>
        <v>6.6000000000000003E-2</v>
      </c>
      <c r="G13" s="22">
        <f t="shared" si="8"/>
        <v>6.6000000000000003E-2</v>
      </c>
      <c r="H13" s="22">
        <f t="shared" si="8"/>
        <v>6.6000000000000003E-2</v>
      </c>
      <c r="I13" s="22">
        <f t="shared" si="8"/>
        <v>6.6000000000000003E-2</v>
      </c>
      <c r="J13" s="22">
        <f t="shared" si="8"/>
        <v>6.6000000000000003E-2</v>
      </c>
      <c r="K13" s="22">
        <f t="shared" si="8"/>
        <v>6.6000000000000003E-2</v>
      </c>
      <c r="L13" s="22">
        <f t="shared" si="8"/>
        <v>6.6000000000000003E-2</v>
      </c>
      <c r="M13" s="22">
        <f t="shared" si="8"/>
        <v>6.6000000000000003E-2</v>
      </c>
      <c r="N13" s="22">
        <f t="shared" si="8"/>
        <v>6.6000000000000003E-2</v>
      </c>
      <c r="O13" s="22">
        <f t="shared" si="8"/>
        <v>6.6000000000000003E-2</v>
      </c>
      <c r="P13" s="22">
        <f t="shared" si="8"/>
        <v>6.6000000000000003E-2</v>
      </c>
      <c r="Q13" s="22">
        <f t="shared" si="8"/>
        <v>6.6000000000000003E-2</v>
      </c>
      <c r="R13" s="22">
        <f t="shared" si="8"/>
        <v>6.6000000000000003E-2</v>
      </c>
      <c r="S13" s="22">
        <f t="shared" si="8"/>
        <v>6.6000000000000003E-2</v>
      </c>
      <c r="T13" s="22">
        <f t="shared" si="8"/>
        <v>6.6000000000000003E-2</v>
      </c>
      <c r="U13" s="22">
        <f t="shared" si="8"/>
        <v>6.6000000000000003E-2</v>
      </c>
      <c r="V13" s="22">
        <f t="shared" si="8"/>
        <v>6.6000000000000003E-2</v>
      </c>
      <c r="W13" s="24">
        <f t="shared" si="3"/>
        <v>1.3200000000000007</v>
      </c>
      <c r="X13" s="6"/>
      <c r="Y13" s="6"/>
      <c r="Z13" s="6"/>
      <c r="AA13" s="6"/>
    </row>
    <row r="14" spans="1:27" ht="22" customHeight="1">
      <c r="A14" s="49" t="s">
        <v>51</v>
      </c>
      <c r="B14" s="23" t="s">
        <v>52</v>
      </c>
      <c r="C14" s="19">
        <f t="shared" ref="C14:V14" si="9">$J$2</f>
        <v>23</v>
      </c>
      <c r="D14" s="19">
        <f t="shared" si="9"/>
        <v>23</v>
      </c>
      <c r="E14" s="19">
        <f t="shared" si="9"/>
        <v>23</v>
      </c>
      <c r="F14" s="19">
        <f t="shared" si="9"/>
        <v>23</v>
      </c>
      <c r="G14" s="19">
        <f t="shared" si="9"/>
        <v>23</v>
      </c>
      <c r="H14" s="19">
        <f t="shared" si="9"/>
        <v>23</v>
      </c>
      <c r="I14" s="19">
        <f t="shared" si="9"/>
        <v>23</v>
      </c>
      <c r="J14" s="19">
        <f t="shared" si="9"/>
        <v>23</v>
      </c>
      <c r="K14" s="19">
        <f t="shared" si="9"/>
        <v>23</v>
      </c>
      <c r="L14" s="19">
        <f t="shared" si="9"/>
        <v>23</v>
      </c>
      <c r="M14" s="19">
        <f t="shared" si="9"/>
        <v>23</v>
      </c>
      <c r="N14" s="19">
        <f t="shared" si="9"/>
        <v>23</v>
      </c>
      <c r="O14" s="19">
        <f t="shared" si="9"/>
        <v>23</v>
      </c>
      <c r="P14" s="19">
        <f t="shared" si="9"/>
        <v>23</v>
      </c>
      <c r="Q14" s="19">
        <f t="shared" si="9"/>
        <v>23</v>
      </c>
      <c r="R14" s="19">
        <f t="shared" si="9"/>
        <v>23</v>
      </c>
      <c r="S14" s="19">
        <f t="shared" si="9"/>
        <v>23</v>
      </c>
      <c r="T14" s="19">
        <f t="shared" si="9"/>
        <v>23</v>
      </c>
      <c r="U14" s="19">
        <f t="shared" si="9"/>
        <v>23</v>
      </c>
      <c r="V14" s="19">
        <f t="shared" si="9"/>
        <v>23</v>
      </c>
      <c r="W14" s="24">
        <f>SUM(C14:V14)</f>
        <v>460</v>
      </c>
      <c r="X14" s="6"/>
      <c r="Y14" s="6"/>
      <c r="Z14" s="6"/>
      <c r="AA14" s="6"/>
    </row>
    <row r="15" spans="1:27" ht="22" customHeight="1">
      <c r="A15" s="46"/>
      <c r="B15" s="23" t="s">
        <v>53</v>
      </c>
      <c r="C15" s="19">
        <f t="shared" ref="C15:V15" si="10">$J$2*$L$2*(1-$H$2)</f>
        <v>18.400000000000002</v>
      </c>
      <c r="D15" s="19">
        <f t="shared" si="10"/>
        <v>18.400000000000002</v>
      </c>
      <c r="E15" s="19">
        <f t="shared" si="10"/>
        <v>18.400000000000002</v>
      </c>
      <c r="F15" s="19">
        <f t="shared" si="10"/>
        <v>18.400000000000002</v>
      </c>
      <c r="G15" s="19">
        <f t="shared" si="10"/>
        <v>18.400000000000002</v>
      </c>
      <c r="H15" s="19">
        <f t="shared" si="10"/>
        <v>18.400000000000002</v>
      </c>
      <c r="I15" s="19">
        <f t="shared" si="10"/>
        <v>18.400000000000002</v>
      </c>
      <c r="J15" s="19">
        <f t="shared" si="10"/>
        <v>18.400000000000002</v>
      </c>
      <c r="K15" s="19">
        <f t="shared" si="10"/>
        <v>18.400000000000002</v>
      </c>
      <c r="L15" s="19">
        <f t="shared" si="10"/>
        <v>18.400000000000002</v>
      </c>
      <c r="M15" s="19">
        <f t="shared" si="10"/>
        <v>18.400000000000002</v>
      </c>
      <c r="N15" s="19">
        <f t="shared" si="10"/>
        <v>18.400000000000002</v>
      </c>
      <c r="O15" s="19">
        <f t="shared" si="10"/>
        <v>18.400000000000002</v>
      </c>
      <c r="P15" s="19">
        <f t="shared" si="10"/>
        <v>18.400000000000002</v>
      </c>
      <c r="Q15" s="19">
        <f t="shared" si="10"/>
        <v>18.400000000000002</v>
      </c>
      <c r="R15" s="19">
        <f t="shared" si="10"/>
        <v>18.400000000000002</v>
      </c>
      <c r="S15" s="19">
        <f t="shared" si="10"/>
        <v>18.400000000000002</v>
      </c>
      <c r="T15" s="19">
        <f t="shared" si="10"/>
        <v>18.400000000000002</v>
      </c>
      <c r="U15" s="19">
        <f t="shared" si="10"/>
        <v>18.400000000000002</v>
      </c>
      <c r="V15" s="19">
        <f t="shared" si="10"/>
        <v>18.400000000000002</v>
      </c>
      <c r="W15" s="24">
        <f>SUM(C15:V15)</f>
        <v>367.99999999999989</v>
      </c>
      <c r="X15" s="6"/>
      <c r="Y15" s="6"/>
      <c r="Z15" s="6"/>
      <c r="AA15" s="6"/>
    </row>
    <row r="16" spans="1:27" ht="22" customHeight="1">
      <c r="A16" s="46"/>
      <c r="B16" s="23" t="s">
        <v>54</v>
      </c>
      <c r="C16" s="19">
        <f t="shared" ref="C16:V16" si="11">$J$2*$M$2</f>
        <v>23</v>
      </c>
      <c r="D16" s="19">
        <f t="shared" si="11"/>
        <v>23</v>
      </c>
      <c r="E16" s="19">
        <f t="shared" si="11"/>
        <v>23</v>
      </c>
      <c r="F16" s="19">
        <f t="shared" si="11"/>
        <v>23</v>
      </c>
      <c r="G16" s="19">
        <f t="shared" si="11"/>
        <v>23</v>
      </c>
      <c r="H16" s="19">
        <f t="shared" si="11"/>
        <v>23</v>
      </c>
      <c r="I16" s="19">
        <f t="shared" si="11"/>
        <v>23</v>
      </c>
      <c r="J16" s="19">
        <f t="shared" si="11"/>
        <v>23</v>
      </c>
      <c r="K16" s="19">
        <f t="shared" si="11"/>
        <v>23</v>
      </c>
      <c r="L16" s="19">
        <f t="shared" si="11"/>
        <v>23</v>
      </c>
      <c r="M16" s="19">
        <f t="shared" si="11"/>
        <v>23</v>
      </c>
      <c r="N16" s="19">
        <f t="shared" si="11"/>
        <v>23</v>
      </c>
      <c r="O16" s="19">
        <f t="shared" si="11"/>
        <v>23</v>
      </c>
      <c r="P16" s="19">
        <f t="shared" si="11"/>
        <v>23</v>
      </c>
      <c r="Q16" s="19">
        <f t="shared" si="11"/>
        <v>23</v>
      </c>
      <c r="R16" s="19">
        <f t="shared" si="11"/>
        <v>23</v>
      </c>
      <c r="S16" s="19">
        <f t="shared" si="11"/>
        <v>23</v>
      </c>
      <c r="T16" s="19">
        <f t="shared" si="11"/>
        <v>23</v>
      </c>
      <c r="U16" s="19">
        <f t="shared" si="11"/>
        <v>23</v>
      </c>
      <c r="V16" s="19">
        <f t="shared" si="11"/>
        <v>23</v>
      </c>
      <c r="W16" s="24">
        <f>SUM(C16:V16)</f>
        <v>460</v>
      </c>
      <c r="X16" s="6"/>
      <c r="Y16" s="6"/>
      <c r="Z16" s="6"/>
      <c r="AA16" s="6"/>
    </row>
    <row r="17" spans="1:27" ht="22" customHeight="1">
      <c r="A17" s="46"/>
      <c r="B17" s="23" t="s">
        <v>55</v>
      </c>
      <c r="C17" s="19">
        <f t="shared" ref="C17:V17" si="12">$J$2*$L$2*$H$2</f>
        <v>27.599999999999998</v>
      </c>
      <c r="D17" s="19">
        <f t="shared" si="12"/>
        <v>27.599999999999998</v>
      </c>
      <c r="E17" s="19">
        <f t="shared" si="12"/>
        <v>27.599999999999998</v>
      </c>
      <c r="F17" s="19">
        <f t="shared" si="12"/>
        <v>27.599999999999998</v>
      </c>
      <c r="G17" s="19">
        <f t="shared" si="12"/>
        <v>27.599999999999998</v>
      </c>
      <c r="H17" s="19">
        <f t="shared" si="12"/>
        <v>27.599999999999998</v>
      </c>
      <c r="I17" s="19">
        <f t="shared" si="12"/>
        <v>27.599999999999998</v>
      </c>
      <c r="J17" s="19">
        <f t="shared" si="12"/>
        <v>27.599999999999998</v>
      </c>
      <c r="K17" s="19">
        <f t="shared" si="12"/>
        <v>27.599999999999998</v>
      </c>
      <c r="L17" s="19">
        <f t="shared" si="12"/>
        <v>27.599999999999998</v>
      </c>
      <c r="M17" s="19">
        <f t="shared" si="12"/>
        <v>27.599999999999998</v>
      </c>
      <c r="N17" s="19">
        <f t="shared" si="12"/>
        <v>27.599999999999998</v>
      </c>
      <c r="O17" s="19">
        <f t="shared" si="12"/>
        <v>27.599999999999998</v>
      </c>
      <c r="P17" s="19">
        <f t="shared" si="12"/>
        <v>27.599999999999998</v>
      </c>
      <c r="Q17" s="19">
        <f t="shared" si="12"/>
        <v>27.599999999999998</v>
      </c>
      <c r="R17" s="19">
        <f t="shared" si="12"/>
        <v>27.599999999999998</v>
      </c>
      <c r="S17" s="19">
        <f t="shared" si="12"/>
        <v>27.599999999999998</v>
      </c>
      <c r="T17" s="19">
        <f t="shared" si="12"/>
        <v>27.599999999999998</v>
      </c>
      <c r="U17" s="19">
        <f t="shared" si="12"/>
        <v>27.599999999999998</v>
      </c>
      <c r="V17" s="19">
        <f t="shared" si="12"/>
        <v>27.599999999999998</v>
      </c>
      <c r="W17" s="24">
        <f>SUM(C17:V17)</f>
        <v>552.00000000000023</v>
      </c>
      <c r="X17" s="6"/>
      <c r="Y17" s="6"/>
      <c r="Z17" s="6"/>
      <c r="AA17" s="6"/>
    </row>
    <row r="18" spans="1:27" ht="22" customHeight="1">
      <c r="A18" s="46"/>
      <c r="B18" s="23" t="s">
        <v>56</v>
      </c>
      <c r="C18" s="19">
        <f t="shared" ref="C18:V18" si="13">C15*$F$2</f>
        <v>5.5200000000000005</v>
      </c>
      <c r="D18" s="19">
        <f t="shared" si="13"/>
        <v>5.5200000000000005</v>
      </c>
      <c r="E18" s="19">
        <f t="shared" si="13"/>
        <v>5.5200000000000005</v>
      </c>
      <c r="F18" s="19">
        <f t="shared" si="13"/>
        <v>5.5200000000000005</v>
      </c>
      <c r="G18" s="19">
        <f t="shared" si="13"/>
        <v>5.5200000000000005</v>
      </c>
      <c r="H18" s="19">
        <f t="shared" si="13"/>
        <v>5.5200000000000005</v>
      </c>
      <c r="I18" s="19">
        <f t="shared" si="13"/>
        <v>5.5200000000000005</v>
      </c>
      <c r="J18" s="19">
        <f t="shared" si="13"/>
        <v>5.5200000000000005</v>
      </c>
      <c r="K18" s="19">
        <f t="shared" si="13"/>
        <v>5.5200000000000005</v>
      </c>
      <c r="L18" s="19">
        <f t="shared" si="13"/>
        <v>5.5200000000000005</v>
      </c>
      <c r="M18" s="19">
        <f t="shared" si="13"/>
        <v>5.5200000000000005</v>
      </c>
      <c r="N18" s="19">
        <f t="shared" si="13"/>
        <v>5.5200000000000005</v>
      </c>
      <c r="O18" s="19">
        <f t="shared" si="13"/>
        <v>5.5200000000000005</v>
      </c>
      <c r="P18" s="19">
        <f t="shared" si="13"/>
        <v>5.5200000000000005</v>
      </c>
      <c r="Q18" s="19">
        <f t="shared" si="13"/>
        <v>5.5200000000000005</v>
      </c>
      <c r="R18" s="19">
        <f t="shared" si="13"/>
        <v>5.5200000000000005</v>
      </c>
      <c r="S18" s="19">
        <f t="shared" si="13"/>
        <v>5.5200000000000005</v>
      </c>
      <c r="T18" s="19">
        <f t="shared" si="13"/>
        <v>5.5200000000000005</v>
      </c>
      <c r="U18" s="19">
        <f t="shared" si="13"/>
        <v>5.5200000000000005</v>
      </c>
      <c r="V18" s="19">
        <f t="shared" si="13"/>
        <v>5.5200000000000005</v>
      </c>
      <c r="W18" s="24">
        <f>SUM(C18:V18)</f>
        <v>110.39999999999999</v>
      </c>
      <c r="X18" s="6"/>
      <c r="Y18" s="6"/>
      <c r="Z18" s="6"/>
      <c r="AA18" s="6"/>
    </row>
    <row r="19" spans="1:27" ht="22" customHeight="1">
      <c r="A19" s="46"/>
      <c r="B19" s="23" t="s">
        <v>57</v>
      </c>
      <c r="C19" s="19">
        <f t="shared" ref="C19:V19" si="14">C16*$G$2</f>
        <v>0</v>
      </c>
      <c r="D19" s="19">
        <f t="shared" si="14"/>
        <v>0</v>
      </c>
      <c r="E19" s="19">
        <f t="shared" si="14"/>
        <v>0</v>
      </c>
      <c r="F19" s="19">
        <f t="shared" si="14"/>
        <v>0</v>
      </c>
      <c r="G19" s="19">
        <f t="shared" si="14"/>
        <v>0</v>
      </c>
      <c r="H19" s="19">
        <f t="shared" si="14"/>
        <v>0</v>
      </c>
      <c r="I19" s="19">
        <f t="shared" si="14"/>
        <v>0</v>
      </c>
      <c r="J19" s="19">
        <f t="shared" si="14"/>
        <v>0</v>
      </c>
      <c r="K19" s="19">
        <f t="shared" si="14"/>
        <v>0</v>
      </c>
      <c r="L19" s="19">
        <f t="shared" si="14"/>
        <v>0</v>
      </c>
      <c r="M19" s="19">
        <f t="shared" si="14"/>
        <v>0</v>
      </c>
      <c r="N19" s="19">
        <f t="shared" si="14"/>
        <v>0</v>
      </c>
      <c r="O19" s="19">
        <f t="shared" si="14"/>
        <v>0</v>
      </c>
      <c r="P19" s="19">
        <f t="shared" si="14"/>
        <v>0</v>
      </c>
      <c r="Q19" s="19">
        <f t="shared" si="14"/>
        <v>0</v>
      </c>
      <c r="R19" s="19">
        <f t="shared" si="14"/>
        <v>0</v>
      </c>
      <c r="S19" s="19">
        <f t="shared" si="14"/>
        <v>0</v>
      </c>
      <c r="T19" s="19">
        <f t="shared" si="14"/>
        <v>0</v>
      </c>
      <c r="U19" s="19">
        <f t="shared" si="14"/>
        <v>0</v>
      </c>
      <c r="V19" s="19">
        <f t="shared" si="14"/>
        <v>0</v>
      </c>
      <c r="W19" s="24">
        <f>SUM(C19:V19)</f>
        <v>0</v>
      </c>
      <c r="X19" s="6"/>
      <c r="Y19" s="6"/>
      <c r="Z19" s="6"/>
      <c r="AA19" s="6"/>
    </row>
    <row r="20" spans="1:27" ht="22" customHeight="1">
      <c r="A20" s="46"/>
      <c r="B20" s="23" t="s">
        <v>58</v>
      </c>
      <c r="C20" s="19">
        <f t="shared" ref="C20:V20" si="15">C17*$I$2</f>
        <v>16.559999999999999</v>
      </c>
      <c r="D20" s="19">
        <f t="shared" si="15"/>
        <v>16.559999999999999</v>
      </c>
      <c r="E20" s="19">
        <f t="shared" si="15"/>
        <v>16.559999999999999</v>
      </c>
      <c r="F20" s="19">
        <f t="shared" si="15"/>
        <v>16.559999999999999</v>
      </c>
      <c r="G20" s="19">
        <f t="shared" si="15"/>
        <v>16.559999999999999</v>
      </c>
      <c r="H20" s="19">
        <f t="shared" si="15"/>
        <v>16.559999999999999</v>
      </c>
      <c r="I20" s="19">
        <f t="shared" si="15"/>
        <v>16.559999999999999</v>
      </c>
      <c r="J20" s="19">
        <f t="shared" si="15"/>
        <v>16.559999999999999</v>
      </c>
      <c r="K20" s="19">
        <f t="shared" si="15"/>
        <v>16.559999999999999</v>
      </c>
      <c r="L20" s="19">
        <f t="shared" si="15"/>
        <v>16.559999999999999</v>
      </c>
      <c r="M20" s="19">
        <f t="shared" si="15"/>
        <v>16.559999999999999</v>
      </c>
      <c r="N20" s="19">
        <f t="shared" si="15"/>
        <v>16.559999999999999</v>
      </c>
      <c r="O20" s="19">
        <f t="shared" si="15"/>
        <v>16.559999999999999</v>
      </c>
      <c r="P20" s="19">
        <f t="shared" si="15"/>
        <v>16.559999999999999</v>
      </c>
      <c r="Q20" s="19">
        <f t="shared" si="15"/>
        <v>16.559999999999999</v>
      </c>
      <c r="R20" s="19">
        <f t="shared" si="15"/>
        <v>16.559999999999999</v>
      </c>
      <c r="S20" s="19">
        <f t="shared" si="15"/>
        <v>16.559999999999999</v>
      </c>
      <c r="T20" s="19">
        <f t="shared" si="15"/>
        <v>16.559999999999999</v>
      </c>
      <c r="U20" s="19">
        <f t="shared" si="15"/>
        <v>16.559999999999999</v>
      </c>
      <c r="V20" s="19">
        <f t="shared" si="15"/>
        <v>16.559999999999999</v>
      </c>
      <c r="W20" s="24">
        <f>SUM(C20:V20)</f>
        <v>331.2</v>
      </c>
      <c r="X20" s="6"/>
      <c r="Y20" s="6"/>
      <c r="Z20" s="6"/>
      <c r="AA20" s="6"/>
    </row>
    <row r="21" spans="1:27" ht="22" customHeight="1">
      <c r="A21" s="54" t="s">
        <v>59</v>
      </c>
      <c r="B21" s="25" t="s">
        <v>60</v>
      </c>
      <c r="C21" s="19">
        <f t="shared" ref="C21:V21" si="16">$K$2*$N$2</f>
        <v>7.8</v>
      </c>
      <c r="D21" s="19">
        <f t="shared" si="16"/>
        <v>7.8</v>
      </c>
      <c r="E21" s="19">
        <f t="shared" si="16"/>
        <v>7.8</v>
      </c>
      <c r="F21" s="19">
        <f t="shared" si="16"/>
        <v>7.8</v>
      </c>
      <c r="G21" s="19">
        <f t="shared" si="16"/>
        <v>7.8</v>
      </c>
      <c r="H21" s="19">
        <f t="shared" si="16"/>
        <v>7.8</v>
      </c>
      <c r="I21" s="19">
        <f t="shared" si="16"/>
        <v>7.8</v>
      </c>
      <c r="J21" s="19">
        <f t="shared" si="16"/>
        <v>7.8</v>
      </c>
      <c r="K21" s="19">
        <f t="shared" si="16"/>
        <v>7.8</v>
      </c>
      <c r="L21" s="19">
        <f t="shared" si="16"/>
        <v>7.8</v>
      </c>
      <c r="M21" s="19">
        <f t="shared" si="16"/>
        <v>7.8</v>
      </c>
      <c r="N21" s="19">
        <f t="shared" si="16"/>
        <v>7.8</v>
      </c>
      <c r="O21" s="19">
        <f t="shared" si="16"/>
        <v>7.8</v>
      </c>
      <c r="P21" s="19">
        <f t="shared" si="16"/>
        <v>7.8</v>
      </c>
      <c r="Q21" s="19">
        <f t="shared" si="16"/>
        <v>7.8</v>
      </c>
      <c r="R21" s="19">
        <f t="shared" si="16"/>
        <v>7.8</v>
      </c>
      <c r="S21" s="19">
        <f t="shared" si="16"/>
        <v>7.8</v>
      </c>
      <c r="T21" s="19">
        <f t="shared" si="16"/>
        <v>7.8</v>
      </c>
      <c r="U21" s="19">
        <f t="shared" si="16"/>
        <v>7.8</v>
      </c>
      <c r="V21" s="19">
        <f t="shared" si="16"/>
        <v>7.8</v>
      </c>
      <c r="W21" s="26">
        <f>SUM(C21:V21)</f>
        <v>156</v>
      </c>
      <c r="X21" s="6"/>
      <c r="Y21" s="6"/>
      <c r="Z21" s="6"/>
      <c r="AA21" s="6"/>
    </row>
    <row r="22" spans="1:27" ht="22" customHeight="1">
      <c r="A22" s="46"/>
      <c r="B22" s="25" t="s">
        <v>53</v>
      </c>
      <c r="C22" s="19">
        <f t="shared" ref="C22:V22" si="17">$K$2*$N$2*$L$2*(1-$H$2)</f>
        <v>6.24</v>
      </c>
      <c r="D22" s="19">
        <f t="shared" si="17"/>
        <v>6.24</v>
      </c>
      <c r="E22" s="19">
        <f t="shared" si="17"/>
        <v>6.24</v>
      </c>
      <c r="F22" s="19">
        <f t="shared" si="17"/>
        <v>6.24</v>
      </c>
      <c r="G22" s="19">
        <f t="shared" si="17"/>
        <v>6.24</v>
      </c>
      <c r="H22" s="19">
        <f t="shared" si="17"/>
        <v>6.24</v>
      </c>
      <c r="I22" s="19">
        <f t="shared" si="17"/>
        <v>6.24</v>
      </c>
      <c r="J22" s="19">
        <f t="shared" si="17"/>
        <v>6.24</v>
      </c>
      <c r="K22" s="19">
        <f t="shared" si="17"/>
        <v>6.24</v>
      </c>
      <c r="L22" s="19">
        <f t="shared" si="17"/>
        <v>6.24</v>
      </c>
      <c r="M22" s="19">
        <f t="shared" si="17"/>
        <v>6.24</v>
      </c>
      <c r="N22" s="19">
        <f t="shared" si="17"/>
        <v>6.24</v>
      </c>
      <c r="O22" s="19">
        <f t="shared" si="17"/>
        <v>6.24</v>
      </c>
      <c r="P22" s="19">
        <f t="shared" si="17"/>
        <v>6.24</v>
      </c>
      <c r="Q22" s="19">
        <f t="shared" si="17"/>
        <v>6.24</v>
      </c>
      <c r="R22" s="19">
        <f t="shared" si="17"/>
        <v>6.24</v>
      </c>
      <c r="S22" s="19">
        <f t="shared" si="17"/>
        <v>6.24</v>
      </c>
      <c r="T22" s="19">
        <f t="shared" si="17"/>
        <v>6.24</v>
      </c>
      <c r="U22" s="19">
        <f t="shared" si="17"/>
        <v>6.24</v>
      </c>
      <c r="V22" s="19">
        <f t="shared" si="17"/>
        <v>6.24</v>
      </c>
      <c r="W22" s="26">
        <f>SUM(C22:V22)</f>
        <v>124.79999999999997</v>
      </c>
      <c r="X22" s="6"/>
      <c r="Y22" s="6"/>
      <c r="Z22" s="6"/>
      <c r="AA22" s="6"/>
    </row>
    <row r="23" spans="1:27" ht="22" customHeight="1">
      <c r="A23" s="46"/>
      <c r="B23" s="25" t="s">
        <v>54</v>
      </c>
      <c r="C23" s="19">
        <f t="shared" ref="C23:V23" si="18">$K$2*$N$2*$M$2</f>
        <v>7.8</v>
      </c>
      <c r="D23" s="19">
        <f t="shared" si="18"/>
        <v>7.8</v>
      </c>
      <c r="E23" s="19">
        <f t="shared" si="18"/>
        <v>7.8</v>
      </c>
      <c r="F23" s="19">
        <f t="shared" si="18"/>
        <v>7.8</v>
      </c>
      <c r="G23" s="19">
        <f t="shared" si="18"/>
        <v>7.8</v>
      </c>
      <c r="H23" s="19">
        <f t="shared" si="18"/>
        <v>7.8</v>
      </c>
      <c r="I23" s="19">
        <f t="shared" si="18"/>
        <v>7.8</v>
      </c>
      <c r="J23" s="19">
        <f t="shared" si="18"/>
        <v>7.8</v>
      </c>
      <c r="K23" s="19">
        <f t="shared" si="18"/>
        <v>7.8</v>
      </c>
      <c r="L23" s="19">
        <f t="shared" si="18"/>
        <v>7.8</v>
      </c>
      <c r="M23" s="19">
        <f t="shared" si="18"/>
        <v>7.8</v>
      </c>
      <c r="N23" s="19">
        <f t="shared" si="18"/>
        <v>7.8</v>
      </c>
      <c r="O23" s="19">
        <f t="shared" si="18"/>
        <v>7.8</v>
      </c>
      <c r="P23" s="19">
        <f t="shared" si="18"/>
        <v>7.8</v>
      </c>
      <c r="Q23" s="19">
        <f t="shared" si="18"/>
        <v>7.8</v>
      </c>
      <c r="R23" s="19">
        <f t="shared" si="18"/>
        <v>7.8</v>
      </c>
      <c r="S23" s="19">
        <f t="shared" si="18"/>
        <v>7.8</v>
      </c>
      <c r="T23" s="19">
        <f t="shared" si="18"/>
        <v>7.8</v>
      </c>
      <c r="U23" s="19">
        <f t="shared" si="18"/>
        <v>7.8</v>
      </c>
      <c r="V23" s="19">
        <f t="shared" si="18"/>
        <v>7.8</v>
      </c>
      <c r="W23" s="26">
        <f>SUM(C23:V23)</f>
        <v>156</v>
      </c>
      <c r="X23" s="6"/>
      <c r="Y23" s="6"/>
      <c r="Z23" s="6"/>
      <c r="AA23" s="6"/>
    </row>
    <row r="24" spans="1:27" ht="22" customHeight="1">
      <c r="A24" s="46"/>
      <c r="B24" s="25" t="s">
        <v>55</v>
      </c>
      <c r="C24" s="19">
        <f t="shared" ref="C24:V24" si="19">$K$2*$N$2*$L$2*$H$2</f>
        <v>9.36</v>
      </c>
      <c r="D24" s="19">
        <f t="shared" si="19"/>
        <v>9.36</v>
      </c>
      <c r="E24" s="19">
        <f t="shared" si="19"/>
        <v>9.36</v>
      </c>
      <c r="F24" s="19">
        <f t="shared" si="19"/>
        <v>9.36</v>
      </c>
      <c r="G24" s="19">
        <f t="shared" si="19"/>
        <v>9.36</v>
      </c>
      <c r="H24" s="19">
        <f t="shared" si="19"/>
        <v>9.36</v>
      </c>
      <c r="I24" s="19">
        <f t="shared" si="19"/>
        <v>9.36</v>
      </c>
      <c r="J24" s="19">
        <f t="shared" si="19"/>
        <v>9.36</v>
      </c>
      <c r="K24" s="19">
        <f t="shared" si="19"/>
        <v>9.36</v>
      </c>
      <c r="L24" s="19">
        <f t="shared" si="19"/>
        <v>9.36</v>
      </c>
      <c r="M24" s="19">
        <f t="shared" si="19"/>
        <v>9.36</v>
      </c>
      <c r="N24" s="19">
        <f t="shared" si="19"/>
        <v>9.36</v>
      </c>
      <c r="O24" s="19">
        <f t="shared" si="19"/>
        <v>9.36</v>
      </c>
      <c r="P24" s="19">
        <f t="shared" si="19"/>
        <v>9.36</v>
      </c>
      <c r="Q24" s="19">
        <f t="shared" si="19"/>
        <v>9.36</v>
      </c>
      <c r="R24" s="19">
        <f t="shared" si="19"/>
        <v>9.36</v>
      </c>
      <c r="S24" s="19">
        <f t="shared" si="19"/>
        <v>9.36</v>
      </c>
      <c r="T24" s="19">
        <f t="shared" si="19"/>
        <v>9.36</v>
      </c>
      <c r="U24" s="19">
        <f t="shared" si="19"/>
        <v>9.36</v>
      </c>
      <c r="V24" s="19">
        <f t="shared" si="19"/>
        <v>9.36</v>
      </c>
      <c r="W24" s="26">
        <f>SUM(C24:V24)</f>
        <v>187.20000000000005</v>
      </c>
      <c r="X24" s="6"/>
      <c r="Y24" s="6"/>
      <c r="Z24" s="6"/>
      <c r="AA24" s="6"/>
    </row>
    <row r="25" spans="1:27" ht="22" customHeight="1">
      <c r="A25" s="46"/>
      <c r="B25" s="25" t="s">
        <v>56</v>
      </c>
      <c r="C25" s="19">
        <f t="shared" ref="C25:V25" si="20">C22*$F$2</f>
        <v>1.8719999999999999</v>
      </c>
      <c r="D25" s="19">
        <f t="shared" si="20"/>
        <v>1.8719999999999999</v>
      </c>
      <c r="E25" s="19">
        <f t="shared" si="20"/>
        <v>1.8719999999999999</v>
      </c>
      <c r="F25" s="19">
        <f t="shared" si="20"/>
        <v>1.8719999999999999</v>
      </c>
      <c r="G25" s="19">
        <f t="shared" si="20"/>
        <v>1.8719999999999999</v>
      </c>
      <c r="H25" s="19">
        <f t="shared" si="20"/>
        <v>1.8719999999999999</v>
      </c>
      <c r="I25" s="19">
        <f t="shared" si="20"/>
        <v>1.8719999999999999</v>
      </c>
      <c r="J25" s="19">
        <f t="shared" si="20"/>
        <v>1.8719999999999999</v>
      </c>
      <c r="K25" s="19">
        <f t="shared" si="20"/>
        <v>1.8719999999999999</v>
      </c>
      <c r="L25" s="19">
        <f t="shared" si="20"/>
        <v>1.8719999999999999</v>
      </c>
      <c r="M25" s="19">
        <f t="shared" si="20"/>
        <v>1.8719999999999999</v>
      </c>
      <c r="N25" s="19">
        <f t="shared" si="20"/>
        <v>1.8719999999999999</v>
      </c>
      <c r="O25" s="19">
        <f t="shared" si="20"/>
        <v>1.8719999999999999</v>
      </c>
      <c r="P25" s="19">
        <f t="shared" si="20"/>
        <v>1.8719999999999999</v>
      </c>
      <c r="Q25" s="19">
        <f t="shared" si="20"/>
        <v>1.8719999999999999</v>
      </c>
      <c r="R25" s="19">
        <f t="shared" si="20"/>
        <v>1.8719999999999999</v>
      </c>
      <c r="S25" s="19">
        <f t="shared" si="20"/>
        <v>1.8719999999999999</v>
      </c>
      <c r="T25" s="19">
        <f t="shared" si="20"/>
        <v>1.8719999999999999</v>
      </c>
      <c r="U25" s="19">
        <f t="shared" si="20"/>
        <v>1.8719999999999999</v>
      </c>
      <c r="V25" s="19">
        <f t="shared" si="20"/>
        <v>1.8719999999999999</v>
      </c>
      <c r="W25" s="26">
        <f>SUM(C25:V25)</f>
        <v>37.44</v>
      </c>
      <c r="X25" s="6"/>
      <c r="Y25" s="6"/>
      <c r="Z25" s="6"/>
      <c r="AA25" s="6"/>
    </row>
    <row r="26" spans="1:27" ht="22" customHeight="1">
      <c r="A26" s="46"/>
      <c r="B26" s="25" t="s">
        <v>57</v>
      </c>
      <c r="C26" s="19">
        <f t="shared" ref="C26:V26" si="21">C23*$G$2</f>
        <v>0</v>
      </c>
      <c r="D26" s="19">
        <f t="shared" si="21"/>
        <v>0</v>
      </c>
      <c r="E26" s="19">
        <f t="shared" si="21"/>
        <v>0</v>
      </c>
      <c r="F26" s="19">
        <f t="shared" si="21"/>
        <v>0</v>
      </c>
      <c r="G26" s="19">
        <f t="shared" si="21"/>
        <v>0</v>
      </c>
      <c r="H26" s="19">
        <f t="shared" si="21"/>
        <v>0</v>
      </c>
      <c r="I26" s="19">
        <f t="shared" si="21"/>
        <v>0</v>
      </c>
      <c r="J26" s="19">
        <f t="shared" si="21"/>
        <v>0</v>
      </c>
      <c r="K26" s="19">
        <f t="shared" si="21"/>
        <v>0</v>
      </c>
      <c r="L26" s="19">
        <f t="shared" si="21"/>
        <v>0</v>
      </c>
      <c r="M26" s="19">
        <f t="shared" si="21"/>
        <v>0</v>
      </c>
      <c r="N26" s="19">
        <f t="shared" si="21"/>
        <v>0</v>
      </c>
      <c r="O26" s="19">
        <f t="shared" si="21"/>
        <v>0</v>
      </c>
      <c r="P26" s="19">
        <f t="shared" si="21"/>
        <v>0</v>
      </c>
      <c r="Q26" s="19">
        <f t="shared" si="21"/>
        <v>0</v>
      </c>
      <c r="R26" s="19">
        <f t="shared" si="21"/>
        <v>0</v>
      </c>
      <c r="S26" s="19">
        <f t="shared" si="21"/>
        <v>0</v>
      </c>
      <c r="T26" s="19">
        <f t="shared" si="21"/>
        <v>0</v>
      </c>
      <c r="U26" s="19">
        <f t="shared" si="21"/>
        <v>0</v>
      </c>
      <c r="V26" s="19">
        <f t="shared" si="21"/>
        <v>0</v>
      </c>
      <c r="W26" s="26">
        <f>SUM(C26:V26)</f>
        <v>0</v>
      </c>
      <c r="X26" s="6"/>
      <c r="Y26" s="6"/>
      <c r="Z26" s="6"/>
      <c r="AA26" s="6"/>
    </row>
    <row r="27" spans="1:27" ht="22" customHeight="1">
      <c r="A27" s="46"/>
      <c r="B27" s="25" t="s">
        <v>58</v>
      </c>
      <c r="C27" s="19">
        <f t="shared" ref="C27:V27" si="22">C24*$I$2</f>
        <v>5.6159999999999997</v>
      </c>
      <c r="D27" s="19">
        <f t="shared" si="22"/>
        <v>5.6159999999999997</v>
      </c>
      <c r="E27" s="19">
        <f t="shared" si="22"/>
        <v>5.6159999999999997</v>
      </c>
      <c r="F27" s="19">
        <f t="shared" si="22"/>
        <v>5.6159999999999997</v>
      </c>
      <c r="G27" s="19">
        <f t="shared" si="22"/>
        <v>5.6159999999999997</v>
      </c>
      <c r="H27" s="19">
        <f t="shared" si="22"/>
        <v>5.6159999999999997</v>
      </c>
      <c r="I27" s="19">
        <f t="shared" si="22"/>
        <v>5.6159999999999997</v>
      </c>
      <c r="J27" s="19">
        <f t="shared" si="22"/>
        <v>5.6159999999999997</v>
      </c>
      <c r="K27" s="19">
        <f t="shared" si="22"/>
        <v>5.6159999999999997</v>
      </c>
      <c r="L27" s="19">
        <f t="shared" si="22"/>
        <v>5.6159999999999997</v>
      </c>
      <c r="M27" s="19">
        <f t="shared" si="22"/>
        <v>5.6159999999999997</v>
      </c>
      <c r="N27" s="19">
        <f t="shared" si="22"/>
        <v>5.6159999999999997</v>
      </c>
      <c r="O27" s="19">
        <f t="shared" si="22"/>
        <v>5.6159999999999997</v>
      </c>
      <c r="P27" s="19">
        <f t="shared" si="22"/>
        <v>5.6159999999999997</v>
      </c>
      <c r="Q27" s="19">
        <f t="shared" si="22"/>
        <v>5.6159999999999997</v>
      </c>
      <c r="R27" s="19">
        <f t="shared" si="22"/>
        <v>5.6159999999999997</v>
      </c>
      <c r="S27" s="19">
        <f t="shared" si="22"/>
        <v>5.6159999999999997</v>
      </c>
      <c r="T27" s="19">
        <f t="shared" si="22"/>
        <v>5.6159999999999997</v>
      </c>
      <c r="U27" s="19">
        <f t="shared" si="22"/>
        <v>5.6159999999999997</v>
      </c>
      <c r="V27" s="19">
        <f t="shared" si="22"/>
        <v>5.6159999999999997</v>
      </c>
      <c r="W27" s="26">
        <f>SUM(C27:V27)</f>
        <v>112.32</v>
      </c>
      <c r="X27" s="6"/>
      <c r="Y27" s="6"/>
      <c r="Z27" s="6"/>
      <c r="AA27" s="6"/>
    </row>
    <row r="28" spans="1:27" ht="22" customHeight="1">
      <c r="A28" s="51" t="s">
        <v>61</v>
      </c>
      <c r="B28" s="56" t="s">
        <v>62</v>
      </c>
      <c r="C28" s="19">
        <f t="shared" ref="C28:V28" si="23">C29+C30+C31</f>
        <v>92.399999999999991</v>
      </c>
      <c r="D28" s="19">
        <f t="shared" si="23"/>
        <v>92.399999999999991</v>
      </c>
      <c r="E28" s="19">
        <f t="shared" si="23"/>
        <v>92.399999999999991</v>
      </c>
      <c r="F28" s="19">
        <f t="shared" si="23"/>
        <v>92.399999999999991</v>
      </c>
      <c r="G28" s="19">
        <f t="shared" si="23"/>
        <v>92.399999999999991</v>
      </c>
      <c r="H28" s="19">
        <f t="shared" si="23"/>
        <v>92.399999999999991</v>
      </c>
      <c r="I28" s="19">
        <f t="shared" si="23"/>
        <v>92.399999999999991</v>
      </c>
      <c r="J28" s="19">
        <f t="shared" si="23"/>
        <v>92.399999999999991</v>
      </c>
      <c r="K28" s="19">
        <f t="shared" si="23"/>
        <v>92.399999999999991</v>
      </c>
      <c r="L28" s="19">
        <f t="shared" si="23"/>
        <v>92.399999999999991</v>
      </c>
      <c r="M28" s="19">
        <f t="shared" si="23"/>
        <v>92.399999999999991</v>
      </c>
      <c r="N28" s="19">
        <f t="shared" si="23"/>
        <v>92.399999999999991</v>
      </c>
      <c r="O28" s="19">
        <f t="shared" si="23"/>
        <v>92.399999999999991</v>
      </c>
      <c r="P28" s="19">
        <f t="shared" si="23"/>
        <v>92.399999999999991</v>
      </c>
      <c r="Q28" s="19">
        <f t="shared" si="23"/>
        <v>92.399999999999991</v>
      </c>
      <c r="R28" s="19">
        <f t="shared" si="23"/>
        <v>92.399999999999991</v>
      </c>
      <c r="S28" s="19">
        <f t="shared" si="23"/>
        <v>92.399999999999991</v>
      </c>
      <c r="T28" s="19">
        <f t="shared" si="23"/>
        <v>92.399999999999991</v>
      </c>
      <c r="U28" s="19">
        <f t="shared" si="23"/>
        <v>92.399999999999991</v>
      </c>
      <c r="V28" s="19">
        <f t="shared" si="23"/>
        <v>92.399999999999991</v>
      </c>
      <c r="W28" s="26">
        <f>SUM(C28:V28)</f>
        <v>1848.0000000000007</v>
      </c>
      <c r="X28" s="6"/>
      <c r="Y28" s="6"/>
      <c r="Z28" s="6"/>
      <c r="AA28" s="6"/>
    </row>
    <row r="29" spans="1:27" ht="22" customHeight="1">
      <c r="A29" s="46"/>
      <c r="B29" s="27" t="s">
        <v>53</v>
      </c>
      <c r="C29" s="19">
        <f t="shared" ref="C29:V29" si="24">C15+C22</f>
        <v>24.64</v>
      </c>
      <c r="D29" s="19">
        <f t="shared" si="24"/>
        <v>24.64</v>
      </c>
      <c r="E29" s="19">
        <f t="shared" si="24"/>
        <v>24.64</v>
      </c>
      <c r="F29" s="19">
        <f t="shared" si="24"/>
        <v>24.64</v>
      </c>
      <c r="G29" s="19">
        <f t="shared" si="24"/>
        <v>24.64</v>
      </c>
      <c r="H29" s="19">
        <f t="shared" si="24"/>
        <v>24.64</v>
      </c>
      <c r="I29" s="19">
        <f t="shared" si="24"/>
        <v>24.64</v>
      </c>
      <c r="J29" s="19">
        <f t="shared" si="24"/>
        <v>24.64</v>
      </c>
      <c r="K29" s="19">
        <f t="shared" si="24"/>
        <v>24.64</v>
      </c>
      <c r="L29" s="19">
        <f t="shared" si="24"/>
        <v>24.64</v>
      </c>
      <c r="M29" s="19">
        <f t="shared" si="24"/>
        <v>24.64</v>
      </c>
      <c r="N29" s="19">
        <f t="shared" si="24"/>
        <v>24.64</v>
      </c>
      <c r="O29" s="19">
        <f t="shared" si="24"/>
        <v>24.64</v>
      </c>
      <c r="P29" s="19">
        <f t="shared" si="24"/>
        <v>24.64</v>
      </c>
      <c r="Q29" s="19">
        <f t="shared" si="24"/>
        <v>24.64</v>
      </c>
      <c r="R29" s="19">
        <f t="shared" si="24"/>
        <v>24.64</v>
      </c>
      <c r="S29" s="19">
        <f t="shared" si="24"/>
        <v>24.64</v>
      </c>
      <c r="T29" s="19">
        <f t="shared" si="24"/>
        <v>24.64</v>
      </c>
      <c r="U29" s="19">
        <f t="shared" si="24"/>
        <v>24.64</v>
      </c>
      <c r="V29" s="19">
        <f t="shared" si="24"/>
        <v>24.64</v>
      </c>
      <c r="W29" s="26">
        <f>SUM(C29:V29)</f>
        <v>492.79999999999984</v>
      </c>
      <c r="X29" s="6"/>
      <c r="Y29" s="6"/>
      <c r="Z29" s="6"/>
      <c r="AA29" s="6"/>
    </row>
    <row r="30" spans="1:27" ht="22" customHeight="1">
      <c r="A30" s="46"/>
      <c r="B30" s="27" t="s">
        <v>54</v>
      </c>
      <c r="C30" s="19">
        <f t="shared" ref="C30:V30" si="25">C16+C23</f>
        <v>30.8</v>
      </c>
      <c r="D30" s="19">
        <f t="shared" si="25"/>
        <v>30.8</v>
      </c>
      <c r="E30" s="19">
        <f t="shared" si="25"/>
        <v>30.8</v>
      </c>
      <c r="F30" s="19">
        <f t="shared" si="25"/>
        <v>30.8</v>
      </c>
      <c r="G30" s="19">
        <f t="shared" si="25"/>
        <v>30.8</v>
      </c>
      <c r="H30" s="19">
        <f t="shared" si="25"/>
        <v>30.8</v>
      </c>
      <c r="I30" s="19">
        <f t="shared" si="25"/>
        <v>30.8</v>
      </c>
      <c r="J30" s="19">
        <f t="shared" si="25"/>
        <v>30.8</v>
      </c>
      <c r="K30" s="19">
        <f t="shared" si="25"/>
        <v>30.8</v>
      </c>
      <c r="L30" s="19">
        <f t="shared" si="25"/>
        <v>30.8</v>
      </c>
      <c r="M30" s="19">
        <f t="shared" si="25"/>
        <v>30.8</v>
      </c>
      <c r="N30" s="19">
        <f t="shared" si="25"/>
        <v>30.8</v>
      </c>
      <c r="O30" s="19">
        <f t="shared" si="25"/>
        <v>30.8</v>
      </c>
      <c r="P30" s="19">
        <f t="shared" si="25"/>
        <v>30.8</v>
      </c>
      <c r="Q30" s="19">
        <f t="shared" si="25"/>
        <v>30.8</v>
      </c>
      <c r="R30" s="19">
        <f t="shared" si="25"/>
        <v>30.8</v>
      </c>
      <c r="S30" s="19">
        <f t="shared" si="25"/>
        <v>30.8</v>
      </c>
      <c r="T30" s="19">
        <f t="shared" si="25"/>
        <v>30.8</v>
      </c>
      <c r="U30" s="19">
        <f t="shared" si="25"/>
        <v>30.8</v>
      </c>
      <c r="V30" s="19">
        <f t="shared" si="25"/>
        <v>30.8</v>
      </c>
      <c r="W30" s="24">
        <f>SUM(C30:V30)</f>
        <v>616</v>
      </c>
      <c r="X30" s="20"/>
      <c r="Y30" s="20"/>
      <c r="Z30" s="20"/>
      <c r="AA30" s="20"/>
    </row>
    <row r="31" spans="1:27" ht="22" customHeight="1">
      <c r="A31" s="46"/>
      <c r="B31" s="28" t="s">
        <v>55</v>
      </c>
      <c r="C31" s="29">
        <f t="shared" ref="C31:V31" si="26">C17+C24</f>
        <v>36.959999999999994</v>
      </c>
      <c r="D31" s="29">
        <f t="shared" si="26"/>
        <v>36.959999999999994</v>
      </c>
      <c r="E31" s="29">
        <f t="shared" si="26"/>
        <v>36.959999999999994</v>
      </c>
      <c r="F31" s="29">
        <f t="shared" si="26"/>
        <v>36.959999999999994</v>
      </c>
      <c r="G31" s="29">
        <f t="shared" si="26"/>
        <v>36.959999999999994</v>
      </c>
      <c r="H31" s="29">
        <f t="shared" si="26"/>
        <v>36.959999999999994</v>
      </c>
      <c r="I31" s="29">
        <f t="shared" si="26"/>
        <v>36.959999999999994</v>
      </c>
      <c r="J31" s="29">
        <f t="shared" si="26"/>
        <v>36.959999999999994</v>
      </c>
      <c r="K31" s="29">
        <f t="shared" si="26"/>
        <v>36.959999999999994</v>
      </c>
      <c r="L31" s="29">
        <f t="shared" si="26"/>
        <v>36.959999999999994</v>
      </c>
      <c r="M31" s="29">
        <f t="shared" si="26"/>
        <v>36.959999999999994</v>
      </c>
      <c r="N31" s="29">
        <f t="shared" si="26"/>
        <v>36.959999999999994</v>
      </c>
      <c r="O31" s="29">
        <f t="shared" si="26"/>
        <v>36.959999999999994</v>
      </c>
      <c r="P31" s="29">
        <f t="shared" si="26"/>
        <v>36.959999999999994</v>
      </c>
      <c r="Q31" s="29">
        <f t="shared" si="26"/>
        <v>36.959999999999994</v>
      </c>
      <c r="R31" s="29">
        <f t="shared" si="26"/>
        <v>36.959999999999994</v>
      </c>
      <c r="S31" s="29">
        <f t="shared" si="26"/>
        <v>36.959999999999994</v>
      </c>
      <c r="T31" s="29">
        <f t="shared" si="26"/>
        <v>36.959999999999994</v>
      </c>
      <c r="U31" s="29">
        <f t="shared" si="26"/>
        <v>36.959999999999994</v>
      </c>
      <c r="V31" s="29">
        <f t="shared" si="26"/>
        <v>36.959999999999994</v>
      </c>
      <c r="W31" s="26">
        <f>SUM(C31:V31)</f>
        <v>739.2</v>
      </c>
      <c r="X31" s="6"/>
      <c r="Y31" s="6"/>
      <c r="Z31" s="6"/>
      <c r="AA31" s="6"/>
    </row>
    <row r="32" spans="1:27" ht="22" customHeight="1">
      <c r="A32" s="46"/>
      <c r="B32" s="55" t="s">
        <v>63</v>
      </c>
      <c r="C32" s="29">
        <f t="shared" ref="C32:V32" si="27">C18+C19+C20+C25+C26+C27</f>
        <v>29.567999999999998</v>
      </c>
      <c r="D32" s="29">
        <f t="shared" si="27"/>
        <v>29.567999999999998</v>
      </c>
      <c r="E32" s="29">
        <f t="shared" si="27"/>
        <v>29.567999999999998</v>
      </c>
      <c r="F32" s="29">
        <f t="shared" si="27"/>
        <v>29.567999999999998</v>
      </c>
      <c r="G32" s="29">
        <f t="shared" si="27"/>
        <v>29.567999999999998</v>
      </c>
      <c r="H32" s="29">
        <f t="shared" si="27"/>
        <v>29.567999999999998</v>
      </c>
      <c r="I32" s="29">
        <f t="shared" si="27"/>
        <v>29.567999999999998</v>
      </c>
      <c r="J32" s="29">
        <f t="shared" si="27"/>
        <v>29.567999999999998</v>
      </c>
      <c r="K32" s="29">
        <f t="shared" si="27"/>
        <v>29.567999999999998</v>
      </c>
      <c r="L32" s="29">
        <f t="shared" si="27"/>
        <v>29.567999999999998</v>
      </c>
      <c r="M32" s="29">
        <f t="shared" si="27"/>
        <v>29.567999999999998</v>
      </c>
      <c r="N32" s="29">
        <f t="shared" si="27"/>
        <v>29.567999999999998</v>
      </c>
      <c r="O32" s="29">
        <f t="shared" si="27"/>
        <v>29.567999999999998</v>
      </c>
      <c r="P32" s="29">
        <f t="shared" si="27"/>
        <v>29.567999999999998</v>
      </c>
      <c r="Q32" s="29">
        <f t="shared" si="27"/>
        <v>29.567999999999998</v>
      </c>
      <c r="R32" s="29">
        <f t="shared" si="27"/>
        <v>29.567999999999998</v>
      </c>
      <c r="S32" s="29">
        <f t="shared" si="27"/>
        <v>29.567999999999998</v>
      </c>
      <c r="T32" s="29">
        <f t="shared" si="27"/>
        <v>29.567999999999998</v>
      </c>
      <c r="U32" s="29">
        <f t="shared" si="27"/>
        <v>29.567999999999998</v>
      </c>
      <c r="V32" s="29">
        <f t="shared" si="27"/>
        <v>29.567999999999998</v>
      </c>
      <c r="W32" s="26">
        <f>SUM(C32:V32)</f>
        <v>591.35999999999979</v>
      </c>
      <c r="X32" s="6"/>
      <c r="Y32" s="6"/>
      <c r="Z32" s="6"/>
      <c r="AA32" s="6"/>
    </row>
    <row r="33" spans="1:27" ht="22" customHeight="1">
      <c r="A33" s="46"/>
      <c r="B33" s="28" t="s">
        <v>56</v>
      </c>
      <c r="C33" s="29">
        <f t="shared" ref="C33:V33" si="28">C18+C25</f>
        <v>7.3920000000000003</v>
      </c>
      <c r="D33" s="29">
        <f t="shared" si="28"/>
        <v>7.3920000000000003</v>
      </c>
      <c r="E33" s="29">
        <f t="shared" si="28"/>
        <v>7.3920000000000003</v>
      </c>
      <c r="F33" s="29">
        <f t="shared" si="28"/>
        <v>7.3920000000000003</v>
      </c>
      <c r="G33" s="29">
        <f t="shared" si="28"/>
        <v>7.3920000000000003</v>
      </c>
      <c r="H33" s="29">
        <f t="shared" si="28"/>
        <v>7.3920000000000003</v>
      </c>
      <c r="I33" s="29">
        <f t="shared" si="28"/>
        <v>7.3920000000000003</v>
      </c>
      <c r="J33" s="29">
        <f t="shared" si="28"/>
        <v>7.3920000000000003</v>
      </c>
      <c r="K33" s="29">
        <f t="shared" si="28"/>
        <v>7.3920000000000003</v>
      </c>
      <c r="L33" s="29">
        <f t="shared" si="28"/>
        <v>7.3920000000000003</v>
      </c>
      <c r="M33" s="29">
        <f t="shared" si="28"/>
        <v>7.3920000000000003</v>
      </c>
      <c r="N33" s="29">
        <f t="shared" si="28"/>
        <v>7.3920000000000003</v>
      </c>
      <c r="O33" s="29">
        <f t="shared" si="28"/>
        <v>7.3920000000000003</v>
      </c>
      <c r="P33" s="29">
        <f t="shared" si="28"/>
        <v>7.3920000000000003</v>
      </c>
      <c r="Q33" s="29">
        <f t="shared" si="28"/>
        <v>7.3920000000000003</v>
      </c>
      <c r="R33" s="29">
        <f t="shared" si="28"/>
        <v>7.3920000000000003</v>
      </c>
      <c r="S33" s="29">
        <f t="shared" si="28"/>
        <v>7.3920000000000003</v>
      </c>
      <c r="T33" s="29">
        <f t="shared" si="28"/>
        <v>7.3920000000000003</v>
      </c>
      <c r="U33" s="29">
        <f t="shared" si="28"/>
        <v>7.3920000000000003</v>
      </c>
      <c r="V33" s="29">
        <f t="shared" si="28"/>
        <v>7.3920000000000003</v>
      </c>
      <c r="W33" s="26">
        <f>SUM(C33:V33)</f>
        <v>147.83999999999997</v>
      </c>
      <c r="X33" s="6"/>
      <c r="Y33" s="6"/>
      <c r="Z33" s="6"/>
      <c r="AA33" s="6"/>
    </row>
    <row r="34" spans="1:27" ht="22" customHeight="1">
      <c r="A34" s="46"/>
      <c r="B34" s="28" t="s">
        <v>57</v>
      </c>
      <c r="C34" s="29">
        <f t="shared" ref="C34:V34" si="29">C19+C26</f>
        <v>0</v>
      </c>
      <c r="D34" s="29">
        <f t="shared" si="29"/>
        <v>0</v>
      </c>
      <c r="E34" s="29">
        <f t="shared" si="29"/>
        <v>0</v>
      </c>
      <c r="F34" s="29">
        <f t="shared" si="29"/>
        <v>0</v>
      </c>
      <c r="G34" s="29">
        <f t="shared" si="29"/>
        <v>0</v>
      </c>
      <c r="H34" s="29">
        <f t="shared" si="29"/>
        <v>0</v>
      </c>
      <c r="I34" s="29">
        <f t="shared" si="29"/>
        <v>0</v>
      </c>
      <c r="J34" s="29">
        <f t="shared" si="29"/>
        <v>0</v>
      </c>
      <c r="K34" s="29">
        <f t="shared" si="29"/>
        <v>0</v>
      </c>
      <c r="L34" s="29">
        <f t="shared" si="29"/>
        <v>0</v>
      </c>
      <c r="M34" s="29">
        <f t="shared" si="29"/>
        <v>0</v>
      </c>
      <c r="N34" s="29">
        <f t="shared" si="29"/>
        <v>0</v>
      </c>
      <c r="O34" s="29">
        <f t="shared" si="29"/>
        <v>0</v>
      </c>
      <c r="P34" s="29">
        <f t="shared" si="29"/>
        <v>0</v>
      </c>
      <c r="Q34" s="29">
        <f t="shared" si="29"/>
        <v>0</v>
      </c>
      <c r="R34" s="29">
        <f t="shared" si="29"/>
        <v>0</v>
      </c>
      <c r="S34" s="29">
        <f t="shared" si="29"/>
        <v>0</v>
      </c>
      <c r="T34" s="29">
        <f t="shared" si="29"/>
        <v>0</v>
      </c>
      <c r="U34" s="29">
        <f t="shared" si="29"/>
        <v>0</v>
      </c>
      <c r="V34" s="29">
        <f t="shared" si="29"/>
        <v>0</v>
      </c>
      <c r="W34" s="26">
        <f>SUM(C34:V34)</f>
        <v>0</v>
      </c>
      <c r="X34" s="6"/>
      <c r="Y34" s="6"/>
      <c r="Z34" s="6"/>
      <c r="AA34" s="6"/>
    </row>
    <row r="35" spans="1:27" ht="22" customHeight="1">
      <c r="A35" s="52"/>
      <c r="B35" s="30" t="s">
        <v>58</v>
      </c>
      <c r="C35" s="31">
        <f t="shared" ref="C35:V35" si="30">C20+C27</f>
        <v>22.175999999999998</v>
      </c>
      <c r="D35" s="31">
        <f t="shared" si="30"/>
        <v>22.175999999999998</v>
      </c>
      <c r="E35" s="31">
        <f t="shared" si="30"/>
        <v>22.175999999999998</v>
      </c>
      <c r="F35" s="31">
        <f t="shared" si="30"/>
        <v>22.175999999999998</v>
      </c>
      <c r="G35" s="31">
        <f t="shared" si="30"/>
        <v>22.175999999999998</v>
      </c>
      <c r="H35" s="31">
        <f t="shared" si="30"/>
        <v>22.175999999999998</v>
      </c>
      <c r="I35" s="31">
        <f t="shared" si="30"/>
        <v>22.175999999999998</v>
      </c>
      <c r="J35" s="31">
        <f t="shared" si="30"/>
        <v>22.175999999999998</v>
      </c>
      <c r="K35" s="31">
        <f t="shared" si="30"/>
        <v>22.175999999999998</v>
      </c>
      <c r="L35" s="31">
        <f t="shared" si="30"/>
        <v>22.175999999999998</v>
      </c>
      <c r="M35" s="31">
        <f t="shared" si="30"/>
        <v>22.175999999999998</v>
      </c>
      <c r="N35" s="31">
        <f t="shared" si="30"/>
        <v>22.175999999999998</v>
      </c>
      <c r="O35" s="31">
        <f t="shared" si="30"/>
        <v>22.175999999999998</v>
      </c>
      <c r="P35" s="31">
        <f t="shared" si="30"/>
        <v>22.175999999999998</v>
      </c>
      <c r="Q35" s="31">
        <f t="shared" si="30"/>
        <v>22.175999999999998</v>
      </c>
      <c r="R35" s="31">
        <f t="shared" si="30"/>
        <v>22.175999999999998</v>
      </c>
      <c r="S35" s="31">
        <f t="shared" si="30"/>
        <v>22.175999999999998</v>
      </c>
      <c r="T35" s="31">
        <f t="shared" si="30"/>
        <v>22.175999999999998</v>
      </c>
      <c r="U35" s="31">
        <f t="shared" si="30"/>
        <v>22.175999999999998</v>
      </c>
      <c r="V35" s="31">
        <f t="shared" si="30"/>
        <v>22.175999999999998</v>
      </c>
      <c r="W35" s="33">
        <f>SUM(C35:V35)</f>
        <v>443.51999999999981</v>
      </c>
      <c r="X35" s="32"/>
      <c r="Y35" s="32"/>
      <c r="Z35" s="32"/>
      <c r="AA35" s="32"/>
    </row>
    <row r="36" spans="1:27" ht="22" customHeight="1" thickBot="1">
      <c r="A36" s="6"/>
      <c r="B36" s="6"/>
      <c r="C36" s="6"/>
      <c r="D36" s="34"/>
      <c r="E36" s="34"/>
      <c r="F36" s="34"/>
      <c r="G36" s="34"/>
      <c r="H36" s="34"/>
      <c r="I36" s="34"/>
      <c r="J36" s="34"/>
      <c r="K36" s="34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22" customHeight="1">
      <c r="A37" s="12" t="s">
        <v>64</v>
      </c>
      <c r="B37" s="35" t="s">
        <v>65</v>
      </c>
      <c r="C37" s="36">
        <f>W32</f>
        <v>591.35999999999979</v>
      </c>
      <c r="D37" s="34"/>
      <c r="E37" s="34"/>
      <c r="F37" s="34"/>
      <c r="G37" s="34"/>
      <c r="H37" s="34"/>
      <c r="I37" s="34"/>
      <c r="J37" s="34"/>
      <c r="K37" s="34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22" customHeight="1">
      <c r="A38" s="6"/>
      <c r="B38" s="37" t="s">
        <v>66</v>
      </c>
      <c r="C38" s="38">
        <f>C37*$A$2</f>
        <v>88703999.99999997</v>
      </c>
      <c r="D38" s="34"/>
      <c r="E38" s="34"/>
      <c r="F38" s="34"/>
      <c r="G38" s="34"/>
      <c r="H38" s="34"/>
      <c r="I38" s="34"/>
      <c r="J38" s="34"/>
      <c r="K38" s="34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22" customHeight="1">
      <c r="A39" s="6"/>
      <c r="B39" s="37" t="s">
        <v>41</v>
      </c>
      <c r="C39" s="39">
        <f>C6</f>
        <v>5000000</v>
      </c>
      <c r="D39" s="34"/>
      <c r="E39" s="34"/>
      <c r="F39" s="34"/>
      <c r="G39" s="34"/>
      <c r="H39" s="34"/>
      <c r="I39" s="34"/>
      <c r="J39" s="34"/>
      <c r="K39" s="34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22" customHeight="1">
      <c r="A40" s="6"/>
      <c r="B40" s="37" t="s">
        <v>67</v>
      </c>
      <c r="C40" s="38">
        <f>C38-C39</f>
        <v>83703999.99999997</v>
      </c>
      <c r="D40" s="34"/>
      <c r="E40" s="34"/>
      <c r="F40" s="34"/>
      <c r="G40" s="34"/>
      <c r="H40" s="34"/>
      <c r="I40" s="34"/>
      <c r="J40" s="34"/>
      <c r="K40" s="34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22" customHeight="1">
      <c r="A41" s="6"/>
      <c r="B41" s="37" t="s">
        <v>68</v>
      </c>
      <c r="C41" s="39">
        <f>(W29+W30+W31)*$B$2</f>
        <v>5543999.9999999991</v>
      </c>
      <c r="D41" s="34"/>
      <c r="E41" s="34"/>
      <c r="F41" s="34"/>
      <c r="G41" s="34"/>
      <c r="H41" s="34"/>
      <c r="I41" s="34"/>
      <c r="J41" s="34"/>
      <c r="K41" s="34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22" customHeight="1">
      <c r="A42" s="6"/>
      <c r="B42" s="37" t="s">
        <v>69</v>
      </c>
      <c r="C42" s="39">
        <f>($J$2*$O$2)+($K$2*$P$2)</f>
        <v>0</v>
      </c>
      <c r="D42" s="34"/>
      <c r="E42" s="34"/>
      <c r="F42" s="34"/>
      <c r="G42" s="34"/>
      <c r="H42" s="34"/>
      <c r="I42" s="34"/>
      <c r="J42" s="34"/>
      <c r="K42" s="34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22" customHeight="1">
      <c r="A43" s="6"/>
      <c r="B43" s="37" t="s">
        <v>70</v>
      </c>
      <c r="C43" s="39">
        <f>C38*$Q$2</f>
        <v>0</v>
      </c>
      <c r="D43" s="34"/>
      <c r="E43" s="34"/>
      <c r="F43" s="34"/>
      <c r="G43" s="34"/>
      <c r="H43" s="34"/>
      <c r="I43" s="34"/>
      <c r="J43" s="34"/>
      <c r="K43" s="34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22" customHeight="1">
      <c r="A44" s="6"/>
      <c r="B44" s="37" t="s">
        <v>71</v>
      </c>
      <c r="C44" s="39">
        <f>SUM(C41:C43)</f>
        <v>5543999.9999999991</v>
      </c>
      <c r="D44" s="34"/>
      <c r="E44" s="34"/>
      <c r="F44" s="34"/>
      <c r="G44" s="34"/>
      <c r="H44" s="34"/>
      <c r="I44" s="34"/>
      <c r="J44" s="34"/>
      <c r="K44" s="34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22" customHeight="1">
      <c r="A45" s="6"/>
      <c r="B45" s="37" t="s">
        <v>72</v>
      </c>
      <c r="C45" s="38">
        <f>C38-C44</f>
        <v>83159999.99999997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22" customHeight="1">
      <c r="A46" s="6"/>
      <c r="B46" s="37" t="s">
        <v>73</v>
      </c>
      <c r="C46" s="40">
        <f>IFERROR(C45/C38,0)</f>
        <v>0.9375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22" customHeight="1">
      <c r="A47" s="6"/>
      <c r="B47" s="37" t="s">
        <v>74</v>
      </c>
      <c r="C47" s="41">
        <f>IFERROR((C7/20)/($L$2*(1-$H$2)*$F$2+$M$2*$G$2+$L$2*$H$2*$I$2),0)</f>
        <v>1.7361111111111112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22" customHeight="1">
      <c r="A48" s="6"/>
      <c r="B48" s="37" t="s">
        <v>75</v>
      </c>
      <c r="C48" s="42">
        <f>ROUNDUP(C47,0)</f>
        <v>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22" customHeight="1">
      <c r="A49" s="6"/>
      <c r="B49" s="37" t="s">
        <v>76</v>
      </c>
      <c r="C49" s="41">
        <f>$J$2+($K$2*$N$2)</f>
        <v>30.8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22" customHeight="1" thickBot="1">
      <c r="A50" s="6"/>
      <c r="B50" s="43" t="s">
        <v>77</v>
      </c>
      <c r="C50" s="44">
        <f>C49-C48</f>
        <v>28.8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</sheetData>
  <mergeCells count="7">
    <mergeCell ref="A28:A35"/>
    <mergeCell ref="A10:A13"/>
    <mergeCell ref="A21:A27"/>
    <mergeCell ref="A8:A9"/>
    <mergeCell ref="C4:V4"/>
    <mergeCell ref="A14:A20"/>
    <mergeCell ref="A6:A7"/>
  </mergeCells>
  <phoneticPr fontId="3" type="noConversion"/>
  <conditionalFormatting sqref="C40">
    <cfRule type="cellIs" dxfId="8" priority="1" stopIfTrue="1" operator="greaterThanOrEqual">
      <formula>0</formula>
    </cfRule>
    <cfRule type="cellIs" dxfId="7" priority="2" stopIfTrue="1" operator="lessThan">
      <formula>0</formula>
    </cfRule>
  </conditionalFormatting>
  <conditionalFormatting sqref="C45">
    <cfRule type="cellIs" dxfId="6" priority="3" stopIfTrue="1" operator="greaterThanOrEqual">
      <formula>0</formula>
    </cfRule>
    <cfRule type="cellIs" dxfId="5" priority="4" stopIfTrue="1" operator="lessThan">
      <formula>0</formula>
    </cfRule>
  </conditionalFormatting>
  <conditionalFormatting sqref="C46">
    <cfRule type="cellIs" dxfId="4" priority="7" stopIfTrue="1" operator="greaterThanOrEqual">
      <formula>0.2</formula>
    </cfRule>
    <cfRule type="cellIs" dxfId="3" priority="8" stopIfTrue="1" operator="between">
      <formula>0</formula>
      <formula>0.2</formula>
    </cfRule>
    <cfRule type="cellIs" dxfId="2" priority="9" stopIfTrue="1" operator="lessThan">
      <formula>0</formula>
    </cfRule>
  </conditionalFormatting>
  <conditionalFormatting sqref="C50">
    <cfRule type="cellIs" dxfId="1" priority="5" stopIfTrue="1" operator="greaterThanOrEqual">
      <formula>0</formula>
    </cfRule>
    <cfRule type="cellIs" dxfId="0" priority="6" stopIfTrue="1" operator="less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R1" workbookViewId="0">
      <selection activeCell="AF13" sqref="AF13"/>
    </sheetView>
  </sheetViews>
  <sheetFormatPr baseColWidth="10" defaultRowHeight="17"/>
  <sheetData/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3월기준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</dc:creator>
  <cp:lastModifiedBy>Office365</cp:lastModifiedBy>
  <dcterms:created xsi:type="dcterms:W3CDTF">2026-02-23T01:03:30Z</dcterms:created>
  <dcterms:modified xsi:type="dcterms:W3CDTF">2026-02-23T10:18:44Z</dcterms:modified>
</cp:coreProperties>
</file>