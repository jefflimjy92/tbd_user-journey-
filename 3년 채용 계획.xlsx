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nyounglim/Desktop/CSO_전략기획/"/>
    </mc:Choice>
  </mc:AlternateContent>
  <xr:revisionPtr revIDLastSave="0" documentId="8_{BD274258-C3A6-3248-9949-47CFC8CAAF86}" xr6:coauthVersionLast="47" xr6:coauthVersionMax="47" xr10:uidLastSave="{00000000-0000-0000-0000-000000000000}"/>
  <bookViews>
    <workbookView xWindow="6820" yWindow="1160" windowWidth="23420" windowHeight="15380" xr2:uid="{820A4B43-B615-204F-86AA-376F9E88DB51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L32" i="1"/>
  <c r="K32" i="1"/>
  <c r="J32" i="1"/>
  <c r="I32" i="1"/>
  <c r="H32" i="1"/>
  <c r="G32" i="1"/>
  <c r="F32" i="1"/>
  <c r="E32" i="1"/>
  <c r="D32" i="1"/>
  <c r="C32" i="1"/>
  <c r="B32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B28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E23" i="1"/>
  <c r="D23" i="1"/>
  <c r="C23" i="1"/>
  <c r="B23" i="1"/>
  <c r="D22" i="1"/>
  <c r="B22" i="1"/>
  <c r="C21" i="1"/>
  <c r="D20" i="1"/>
  <c r="C20" i="1"/>
  <c r="C34" i="1" s="1"/>
  <c r="B20" i="1"/>
  <c r="B19" i="1" s="1"/>
  <c r="D19" i="1"/>
  <c r="C19" i="1"/>
  <c r="O18" i="1"/>
  <c r="O32" i="1" s="1"/>
  <c r="N18" i="1"/>
  <c r="N32" i="1" s="1"/>
  <c r="M18" i="1"/>
  <c r="M32" i="1" s="1"/>
  <c r="B15" i="1"/>
  <c r="B29" i="1" s="1"/>
  <c r="C14" i="1"/>
  <c r="C28" i="1" s="1"/>
  <c r="E10" i="1"/>
  <c r="D10" i="1"/>
  <c r="D14" i="1" s="1"/>
  <c r="D9" i="1"/>
  <c r="C9" i="1"/>
  <c r="B9" i="1"/>
  <c r="D6" i="1"/>
  <c r="B6" i="1"/>
  <c r="D5" i="1"/>
  <c r="D26" i="1" s="1"/>
  <c r="C5" i="1"/>
  <c r="B5" i="1"/>
  <c r="B25" i="1" s="1"/>
  <c r="C15" i="1" l="1"/>
  <c r="C29" i="1" s="1"/>
  <c r="D28" i="1"/>
  <c r="D21" i="1"/>
  <c r="E14" i="1"/>
  <c r="E5" i="1"/>
  <c r="E20" i="1"/>
  <c r="F10" i="1"/>
  <c r="C25" i="1"/>
  <c r="C26" i="1"/>
  <c r="C6" i="1"/>
  <c r="C22" i="1"/>
  <c r="P18" i="1"/>
  <c r="D25" i="1"/>
  <c r="B34" i="1"/>
  <c r="B26" i="1"/>
  <c r="B7" i="1" s="1"/>
  <c r="B8" i="1" s="1"/>
  <c r="F20" i="1" l="1"/>
  <c r="F5" i="1"/>
  <c r="F23" i="1"/>
  <c r="F14" i="1"/>
  <c r="G10" i="1"/>
  <c r="C7" i="1"/>
  <c r="C8" i="1" s="1"/>
  <c r="E19" i="1"/>
  <c r="E34" i="1"/>
  <c r="E6" i="1"/>
  <c r="E22" i="1"/>
  <c r="E25" i="1"/>
  <c r="E26" i="1"/>
  <c r="E9" i="1"/>
  <c r="E28" i="1"/>
  <c r="D15" i="1"/>
  <c r="D29" i="1" s="1"/>
  <c r="D7" i="1" s="1"/>
  <c r="D8" i="1" s="1"/>
  <c r="E21" i="1"/>
  <c r="Q18" i="1"/>
  <c r="P32" i="1"/>
  <c r="R18" i="1" l="1"/>
  <c r="Q32" i="1"/>
  <c r="F22" i="1"/>
  <c r="F9" i="1"/>
  <c r="F25" i="1"/>
  <c r="F26" i="1"/>
  <c r="F6" i="1"/>
  <c r="G5" i="1"/>
  <c r="G20" i="1"/>
  <c r="G23" i="1"/>
  <c r="H10" i="1"/>
  <c r="G14" i="1"/>
  <c r="E15" i="1"/>
  <c r="E29" i="1" s="1"/>
  <c r="E7" i="1" s="1"/>
  <c r="E8" i="1" s="1"/>
  <c r="F21" i="1"/>
  <c r="F28" i="1"/>
  <c r="F19" i="1"/>
  <c r="F34" i="1"/>
  <c r="G6" i="1" l="1"/>
  <c r="G22" i="1"/>
  <c r="G9" i="1"/>
  <c r="G26" i="1"/>
  <c r="G25" i="1"/>
  <c r="S18" i="1"/>
  <c r="R32" i="1"/>
  <c r="G19" i="1"/>
  <c r="G34" i="1"/>
  <c r="F15" i="1"/>
  <c r="F29" i="1" s="1"/>
  <c r="F7" i="1" s="1"/>
  <c r="F8" i="1" s="1"/>
  <c r="G21" i="1"/>
  <c r="G28" i="1"/>
  <c r="H5" i="1"/>
  <c r="H20" i="1"/>
  <c r="H23" i="1"/>
  <c r="I10" i="1"/>
  <c r="H14" i="1"/>
  <c r="S32" i="1" l="1"/>
  <c r="T18" i="1"/>
  <c r="H19" i="1"/>
  <c r="H34" i="1"/>
  <c r="H21" i="1"/>
  <c r="H28" i="1"/>
  <c r="G15" i="1"/>
  <c r="G29" i="1" s="1"/>
  <c r="G7" i="1" s="1"/>
  <c r="G8" i="1" s="1"/>
  <c r="I20" i="1"/>
  <c r="I23" i="1"/>
  <c r="J10" i="1"/>
  <c r="I5" i="1"/>
  <c r="I14" i="1"/>
  <c r="H22" i="1"/>
  <c r="H6" i="1"/>
  <c r="H9" i="1"/>
  <c r="H25" i="1"/>
  <c r="H26" i="1"/>
  <c r="I34" i="1" l="1"/>
  <c r="I19" i="1"/>
  <c r="J23" i="1"/>
  <c r="J20" i="1"/>
  <c r="K10" i="1"/>
  <c r="J14" i="1"/>
  <c r="J5" i="1"/>
  <c r="T32" i="1"/>
  <c r="U18" i="1"/>
  <c r="I21" i="1"/>
  <c r="H15" i="1"/>
  <c r="H29" i="1" s="1"/>
  <c r="H7" i="1" s="1"/>
  <c r="H8" i="1" s="1"/>
  <c r="I28" i="1"/>
  <c r="I6" i="1"/>
  <c r="I22" i="1"/>
  <c r="I25" i="1"/>
  <c r="I26" i="1"/>
  <c r="I9" i="1"/>
  <c r="J21" i="1" l="1"/>
  <c r="J28" i="1"/>
  <c r="I15" i="1"/>
  <c r="I29" i="1" s="1"/>
  <c r="I7" i="1" s="1"/>
  <c r="I8" i="1" s="1"/>
  <c r="L10" i="1"/>
  <c r="K23" i="1"/>
  <c r="K14" i="1"/>
  <c r="K20" i="1"/>
  <c r="K5" i="1"/>
  <c r="J34" i="1"/>
  <c r="J19" i="1"/>
  <c r="U32" i="1"/>
  <c r="V18" i="1"/>
  <c r="J22" i="1"/>
  <c r="J9" i="1"/>
  <c r="J25" i="1"/>
  <c r="J26" i="1"/>
  <c r="J6" i="1"/>
  <c r="K22" i="1" l="1"/>
  <c r="K9" i="1"/>
  <c r="K25" i="1"/>
  <c r="K26" i="1"/>
  <c r="K6" i="1"/>
  <c r="K21" i="1"/>
  <c r="K28" i="1"/>
  <c r="J15" i="1"/>
  <c r="J29" i="1" s="1"/>
  <c r="J7" i="1" s="1"/>
  <c r="J8" i="1" s="1"/>
  <c r="L23" i="1"/>
  <c r="M10" i="1"/>
  <c r="L14" i="1"/>
  <c r="L20" i="1"/>
  <c r="L5" i="1"/>
  <c r="K34" i="1"/>
  <c r="K19" i="1"/>
  <c r="V32" i="1"/>
  <c r="W18" i="1"/>
  <c r="L28" i="1" l="1"/>
  <c r="K15" i="1"/>
  <c r="K29" i="1" s="1"/>
  <c r="K7" i="1" s="1"/>
  <c r="L21" i="1"/>
  <c r="M23" i="1"/>
  <c r="N10" i="1"/>
  <c r="M14" i="1"/>
  <c r="M5" i="1"/>
  <c r="M20" i="1"/>
  <c r="X18" i="1"/>
  <c r="W32" i="1"/>
  <c r="L22" i="1"/>
  <c r="L9" i="1"/>
  <c r="L25" i="1"/>
  <c r="L26" i="1"/>
  <c r="L6" i="1"/>
  <c r="L34" i="1"/>
  <c r="L19" i="1"/>
  <c r="K8" i="1"/>
  <c r="O10" i="1" l="1"/>
  <c r="N5" i="1"/>
  <c r="N20" i="1"/>
  <c r="N23" i="1"/>
  <c r="N14" i="1"/>
  <c r="Y18" i="1"/>
  <c r="X32" i="1"/>
  <c r="M19" i="1"/>
  <c r="M34" i="1"/>
  <c r="M25" i="1"/>
  <c r="M27" i="1"/>
  <c r="M26" i="1"/>
  <c r="M22" i="1"/>
  <c r="M9" i="1"/>
  <c r="M6" i="1"/>
  <c r="M28" i="1"/>
  <c r="L15" i="1"/>
  <c r="L29" i="1" s="1"/>
  <c r="L7" i="1" s="1"/>
  <c r="L8" i="1" s="1"/>
  <c r="M21" i="1"/>
  <c r="Z18" i="1" l="1"/>
  <c r="Y32" i="1"/>
  <c r="O14" i="1"/>
  <c r="O20" i="1"/>
  <c r="O23" i="1"/>
  <c r="P10" i="1"/>
  <c r="O5" i="1"/>
  <c r="N28" i="1"/>
  <c r="M15" i="1"/>
  <c r="M29" i="1" s="1"/>
  <c r="M7" i="1" s="1"/>
  <c r="M8" i="1" s="1"/>
  <c r="N21" i="1"/>
  <c r="N19" i="1"/>
  <c r="N34" i="1"/>
  <c r="N25" i="1"/>
  <c r="N27" i="1"/>
  <c r="N26" i="1"/>
  <c r="N22" i="1"/>
  <c r="N9" i="1"/>
  <c r="N6" i="1"/>
  <c r="O25" i="1" l="1"/>
  <c r="O27" i="1"/>
  <c r="O26" i="1"/>
  <c r="O6" i="1"/>
  <c r="O22" i="1"/>
  <c r="O9" i="1"/>
  <c r="P14" i="1"/>
  <c r="P5" i="1"/>
  <c r="P20" i="1"/>
  <c r="P23" i="1"/>
  <c r="Q10" i="1"/>
  <c r="O19" i="1"/>
  <c r="O34" i="1"/>
  <c r="N15" i="1"/>
  <c r="N29" i="1" s="1"/>
  <c r="N7" i="1" s="1"/>
  <c r="N8" i="1" s="1"/>
  <c r="O28" i="1"/>
  <c r="O21" i="1"/>
  <c r="AA18" i="1"/>
  <c r="Z32" i="1"/>
  <c r="Q14" i="1" l="1"/>
  <c r="Q5" i="1"/>
  <c r="Q20" i="1"/>
  <c r="R10" i="1"/>
  <c r="Q23" i="1"/>
  <c r="P19" i="1"/>
  <c r="P34" i="1"/>
  <c r="AB18" i="1"/>
  <c r="AA32" i="1"/>
  <c r="P27" i="1"/>
  <c r="P26" i="1"/>
  <c r="P25" i="1"/>
  <c r="P22" i="1"/>
  <c r="P9" i="1"/>
  <c r="P6" i="1"/>
  <c r="P28" i="1"/>
  <c r="O15" i="1"/>
  <c r="O29" i="1" s="1"/>
  <c r="O7" i="1" s="1"/>
  <c r="O8" i="1" s="1"/>
  <c r="P21" i="1"/>
  <c r="AC18" i="1" l="1"/>
  <c r="AB32" i="1"/>
  <c r="R5" i="1"/>
  <c r="R20" i="1"/>
  <c r="R23" i="1"/>
  <c r="R14" i="1"/>
  <c r="S10" i="1"/>
  <c r="Q19" i="1"/>
  <c r="Q34" i="1"/>
  <c r="Q6" i="1"/>
  <c r="Q22" i="1"/>
  <c r="Q25" i="1"/>
  <c r="Q27" i="1"/>
  <c r="Q26" i="1"/>
  <c r="Q9" i="1"/>
  <c r="Q28" i="1"/>
  <c r="P15" i="1"/>
  <c r="P29" i="1" s="1"/>
  <c r="P7" i="1" s="1"/>
  <c r="P8" i="1" s="1"/>
  <c r="Q21" i="1"/>
  <c r="R6" i="1" l="1"/>
  <c r="R22" i="1"/>
  <c r="R9" i="1"/>
  <c r="R25" i="1"/>
  <c r="R27" i="1"/>
  <c r="R26" i="1"/>
  <c r="AD18" i="1"/>
  <c r="AC32" i="1"/>
  <c r="S5" i="1"/>
  <c r="S20" i="1"/>
  <c r="S23" i="1"/>
  <c r="T10" i="1"/>
  <c r="S14" i="1"/>
  <c r="Q15" i="1"/>
  <c r="Q29" i="1" s="1"/>
  <c r="Q7" i="1" s="1"/>
  <c r="Q8" i="1" s="1"/>
  <c r="R21" i="1"/>
  <c r="R28" i="1"/>
  <c r="R19" i="1"/>
  <c r="R34" i="1"/>
  <c r="S19" i="1" l="1"/>
  <c r="S34" i="1"/>
  <c r="S6" i="1"/>
  <c r="S22" i="1"/>
  <c r="S9" i="1"/>
  <c r="S27" i="1"/>
  <c r="S26" i="1"/>
  <c r="S25" i="1"/>
  <c r="AE18" i="1"/>
  <c r="AD32" i="1"/>
  <c r="R15" i="1"/>
  <c r="R29" i="1" s="1"/>
  <c r="R7" i="1" s="1"/>
  <c r="R8" i="1" s="1"/>
  <c r="S28" i="1"/>
  <c r="S21" i="1"/>
  <c r="T5" i="1"/>
  <c r="T20" i="1"/>
  <c r="T23" i="1"/>
  <c r="U10" i="1"/>
  <c r="T14" i="1"/>
  <c r="AE32" i="1" l="1"/>
  <c r="AF18" i="1"/>
  <c r="U20" i="1"/>
  <c r="U23" i="1"/>
  <c r="V10" i="1"/>
  <c r="U5" i="1"/>
  <c r="U14" i="1"/>
  <c r="T19" i="1"/>
  <c r="T34" i="1"/>
  <c r="T6" i="1"/>
  <c r="T22" i="1"/>
  <c r="T9" i="1"/>
  <c r="T25" i="1"/>
  <c r="T27" i="1"/>
  <c r="T26" i="1"/>
  <c r="T28" i="1"/>
  <c r="S15" i="1"/>
  <c r="S29" i="1" s="1"/>
  <c r="S7" i="1" s="1"/>
  <c r="S8" i="1" s="1"/>
  <c r="T21" i="1"/>
  <c r="U21" i="1" l="1"/>
  <c r="T15" i="1"/>
  <c r="T29" i="1" s="1"/>
  <c r="T7" i="1" s="1"/>
  <c r="T8" i="1" s="1"/>
  <c r="U28" i="1"/>
  <c r="U6" i="1"/>
  <c r="U9" i="1"/>
  <c r="U22" i="1"/>
  <c r="U25" i="1"/>
  <c r="U27" i="1"/>
  <c r="U26" i="1"/>
  <c r="V23" i="1"/>
  <c r="W10" i="1"/>
  <c r="V20" i="1"/>
  <c r="V14" i="1"/>
  <c r="V5" i="1"/>
  <c r="U34" i="1"/>
  <c r="U19" i="1"/>
  <c r="AF32" i="1"/>
  <c r="AG18" i="1"/>
  <c r="U7" i="1" l="1"/>
  <c r="U8" i="1" s="1"/>
  <c r="W23" i="1"/>
  <c r="W14" i="1"/>
  <c r="W20" i="1"/>
  <c r="X10" i="1"/>
  <c r="W5" i="1"/>
  <c r="AG32" i="1"/>
  <c r="AH18" i="1"/>
  <c r="V22" i="1"/>
  <c r="V9" i="1"/>
  <c r="V25" i="1"/>
  <c r="V27" i="1"/>
  <c r="V26" i="1"/>
  <c r="V6" i="1"/>
  <c r="V21" i="1"/>
  <c r="V28" i="1"/>
  <c r="U15" i="1"/>
  <c r="U29" i="1" s="1"/>
  <c r="V34" i="1"/>
  <c r="V19" i="1"/>
  <c r="AH32" i="1" l="1"/>
  <c r="AI18" i="1"/>
  <c r="W22" i="1"/>
  <c r="W9" i="1"/>
  <c r="W27" i="1"/>
  <c r="W26" i="1"/>
  <c r="W25" i="1"/>
  <c r="W6" i="1"/>
  <c r="X23" i="1"/>
  <c r="Y10" i="1"/>
  <c r="X14" i="1"/>
  <c r="X20" i="1"/>
  <c r="X5" i="1"/>
  <c r="W34" i="1"/>
  <c r="W19" i="1"/>
  <c r="W21" i="1"/>
  <c r="W28" i="1"/>
  <c r="V15" i="1"/>
  <c r="V29" i="1" s="1"/>
  <c r="V7" i="1" s="1"/>
  <c r="V8" i="1" s="1"/>
  <c r="Y23" i="1" l="1"/>
  <c r="Y14" i="1"/>
  <c r="Z10" i="1"/>
  <c r="Y5" i="1"/>
  <c r="Y20" i="1"/>
  <c r="AJ18" i="1"/>
  <c r="AJ32" i="1" s="1"/>
  <c r="AI32" i="1"/>
  <c r="X22" i="1"/>
  <c r="X9" i="1"/>
  <c r="X25" i="1"/>
  <c r="X7" i="1" s="1"/>
  <c r="X27" i="1"/>
  <c r="X26" i="1"/>
  <c r="X6" i="1"/>
  <c r="X34" i="1"/>
  <c r="X19" i="1"/>
  <c r="X28" i="1"/>
  <c r="W15" i="1"/>
  <c r="W29" i="1" s="1"/>
  <c r="W7" i="1" s="1"/>
  <c r="W8" i="1" s="1"/>
  <c r="X21" i="1"/>
  <c r="X8" i="1" l="1"/>
  <c r="Y19" i="1"/>
  <c r="Y34" i="1"/>
  <c r="Y27" i="1"/>
  <c r="Y26" i="1"/>
  <c r="Y25" i="1"/>
  <c r="Y7" i="1" s="1"/>
  <c r="Y22" i="1"/>
  <c r="Y9" i="1"/>
  <c r="Y6" i="1"/>
  <c r="AA10" i="1"/>
  <c r="Z14" i="1"/>
  <c r="Z5" i="1"/>
  <c r="Z20" i="1"/>
  <c r="Z23" i="1"/>
  <c r="Y21" i="1"/>
  <c r="Y28" i="1"/>
  <c r="Z28" i="1" l="1"/>
  <c r="Z21" i="1"/>
  <c r="AA14" i="1"/>
  <c r="AA20" i="1"/>
  <c r="AA23" i="1"/>
  <c r="AB10" i="1"/>
  <c r="AA5" i="1"/>
  <c r="Y8" i="1"/>
  <c r="Z25" i="1"/>
  <c r="Z7" i="1" s="1"/>
  <c r="Z27" i="1"/>
  <c r="Z26" i="1"/>
  <c r="Z22" i="1"/>
  <c r="Z6" i="1"/>
  <c r="Z9" i="1"/>
  <c r="Z19" i="1"/>
  <c r="Z34" i="1"/>
  <c r="AA25" i="1" l="1"/>
  <c r="AA27" i="1"/>
  <c r="AA26" i="1"/>
  <c r="AA6" i="1"/>
  <c r="AA22" i="1"/>
  <c r="AA9" i="1"/>
  <c r="AB14" i="1"/>
  <c r="AB5" i="1"/>
  <c r="AB20" i="1"/>
  <c r="AB23" i="1"/>
  <c r="AC10" i="1"/>
  <c r="AA7" i="1"/>
  <c r="AA19" i="1"/>
  <c r="AA34" i="1"/>
  <c r="AA28" i="1"/>
  <c r="AA21" i="1"/>
  <c r="Z8" i="1"/>
  <c r="AB19" i="1" l="1"/>
  <c r="AB34" i="1"/>
  <c r="AC14" i="1"/>
  <c r="AC5" i="1"/>
  <c r="AC20" i="1"/>
  <c r="AD10" i="1"/>
  <c r="AC23" i="1"/>
  <c r="AB27" i="1"/>
  <c r="AB26" i="1"/>
  <c r="AB25" i="1"/>
  <c r="AB7" i="1" s="1"/>
  <c r="AB9" i="1"/>
  <c r="AB22" i="1"/>
  <c r="AB6" i="1"/>
  <c r="AB28" i="1"/>
  <c r="AB21" i="1"/>
  <c r="AA8" i="1"/>
  <c r="AB8" i="1" l="1"/>
  <c r="AD20" i="1"/>
  <c r="AD5" i="1"/>
  <c r="AD23" i="1"/>
  <c r="AD14" i="1"/>
  <c r="AE10" i="1"/>
  <c r="AC19" i="1"/>
  <c r="AC34" i="1"/>
  <c r="AC22" i="1"/>
  <c r="AC25" i="1"/>
  <c r="AC7" i="1" s="1"/>
  <c r="AC27" i="1"/>
  <c r="AC26" i="1"/>
  <c r="AC6" i="1"/>
  <c r="AC9" i="1"/>
  <c r="AC28" i="1"/>
  <c r="AC21" i="1"/>
  <c r="AD21" i="1" l="1"/>
  <c r="AD28" i="1"/>
  <c r="AC8" i="1"/>
  <c r="AE5" i="1"/>
  <c r="AE20" i="1"/>
  <c r="AE23" i="1"/>
  <c r="AE14" i="1"/>
  <c r="AF10" i="1"/>
  <c r="AD7" i="1"/>
  <c r="AD6" i="1"/>
  <c r="AD22" i="1"/>
  <c r="AD8" i="1" s="1"/>
  <c r="AD9" i="1"/>
  <c r="AD25" i="1"/>
  <c r="AD27" i="1"/>
  <c r="AD26" i="1"/>
  <c r="AD19" i="1"/>
  <c r="AD34" i="1"/>
  <c r="AF5" i="1" l="1"/>
  <c r="AF20" i="1"/>
  <c r="AF23" i="1"/>
  <c r="AG10" i="1"/>
  <c r="AF14" i="1"/>
  <c r="AE21" i="1"/>
  <c r="AE28" i="1"/>
  <c r="AE19" i="1"/>
  <c r="AE34" i="1"/>
  <c r="AE7" i="1"/>
  <c r="AE6" i="1"/>
  <c r="AE22" i="1"/>
  <c r="AE8" i="1" s="1"/>
  <c r="AE9" i="1"/>
  <c r="AE27" i="1"/>
  <c r="AE26" i="1"/>
  <c r="AE25" i="1"/>
  <c r="AF21" i="1" l="1"/>
  <c r="AF28" i="1"/>
  <c r="AG20" i="1"/>
  <c r="AH10" i="1"/>
  <c r="AG5" i="1"/>
  <c r="AG23" i="1"/>
  <c r="AG14" i="1"/>
  <c r="AF19" i="1"/>
  <c r="AF34" i="1"/>
  <c r="AF7" i="1" s="1"/>
  <c r="AF9" i="1"/>
  <c r="AF6" i="1"/>
  <c r="AF22" i="1"/>
  <c r="AF25" i="1"/>
  <c r="AF27" i="1"/>
  <c r="AF26" i="1"/>
  <c r="AG21" i="1" l="1"/>
  <c r="AG28" i="1"/>
  <c r="AG6" i="1"/>
  <c r="AG22" i="1"/>
  <c r="AG9" i="1"/>
  <c r="AG25" i="1"/>
  <c r="AG7" i="1" s="1"/>
  <c r="AG27" i="1"/>
  <c r="AG26" i="1"/>
  <c r="AI10" i="1"/>
  <c r="AH23" i="1"/>
  <c r="AH20" i="1"/>
  <c r="AH5" i="1"/>
  <c r="AH14" i="1"/>
  <c r="AG34" i="1"/>
  <c r="AG19" i="1"/>
  <c r="AF8" i="1"/>
  <c r="AH34" i="1" l="1"/>
  <c r="AH19" i="1"/>
  <c r="AI23" i="1"/>
  <c r="AJ10" i="1"/>
  <c r="AI14" i="1"/>
  <c r="AI20" i="1"/>
  <c r="AI5" i="1"/>
  <c r="AG8" i="1"/>
  <c r="AH21" i="1"/>
  <c r="AH28" i="1"/>
  <c r="AH22" i="1"/>
  <c r="AH9" i="1"/>
  <c r="AH25" i="1"/>
  <c r="AH27" i="1"/>
  <c r="AH26" i="1"/>
  <c r="AH7" i="1" s="1"/>
  <c r="AH6" i="1"/>
  <c r="AI34" i="1" l="1"/>
  <c r="AI19" i="1"/>
  <c r="AH8" i="1"/>
  <c r="AI22" i="1"/>
  <c r="AI9" i="1"/>
  <c r="AI25" i="1"/>
  <c r="AI7" i="1" s="1"/>
  <c r="AI27" i="1"/>
  <c r="AI26" i="1"/>
  <c r="AI6" i="1"/>
  <c r="AI21" i="1"/>
  <c r="AI28" i="1"/>
  <c r="AJ23" i="1"/>
  <c r="AJ14" i="1"/>
  <c r="AJ20" i="1"/>
  <c r="AJ5" i="1"/>
  <c r="AJ34" i="1" l="1"/>
  <c r="AJ19" i="1"/>
  <c r="AI8" i="1"/>
  <c r="AJ22" i="1"/>
  <c r="AJ9" i="1"/>
  <c r="AJ25" i="1"/>
  <c r="AJ7" i="1" s="1"/>
  <c r="AJ26" i="1"/>
  <c r="AJ27" i="1"/>
  <c r="AJ6" i="1"/>
  <c r="AJ28" i="1"/>
  <c r="AJ21" i="1"/>
  <c r="AJ8" i="1" l="1"/>
</calcChain>
</file>

<file path=xl/sharedStrings.xml><?xml version="1.0" encoding="utf-8"?>
<sst xmlns="http://schemas.openxmlformats.org/spreadsheetml/2006/main" count="81" uniqueCount="81">
  <si>
    <t>년월</t>
    <phoneticPr fontId="3" type="noConversion"/>
  </si>
  <si>
    <t>26년 2월</t>
    <phoneticPr fontId="3" type="noConversion"/>
  </si>
  <si>
    <t>26년 3월</t>
    <phoneticPr fontId="3" type="noConversion"/>
  </si>
  <si>
    <t>26년 4월</t>
  </si>
  <si>
    <t>26년 5월</t>
  </si>
  <si>
    <t>26년 6월</t>
  </si>
  <si>
    <t>26년 7월</t>
  </si>
  <si>
    <t>26년 8월</t>
  </si>
  <si>
    <t>26년 9월</t>
  </si>
  <si>
    <t>26년 10월</t>
  </si>
  <si>
    <t>26년 11월</t>
  </si>
  <si>
    <t>26년 12월</t>
  </si>
  <si>
    <t>27년 1월</t>
    <phoneticPr fontId="3" type="noConversion"/>
  </si>
  <si>
    <t>27년 2월</t>
    <phoneticPr fontId="3" type="noConversion"/>
  </si>
  <si>
    <t>27년 3월</t>
  </si>
  <si>
    <t>27년 4월</t>
  </si>
  <si>
    <t>27년 5월</t>
  </si>
  <si>
    <t>27년 6월</t>
  </si>
  <si>
    <t>27년 7월</t>
  </si>
  <si>
    <t>27년 8월</t>
  </si>
  <si>
    <t>27년 9월</t>
  </si>
  <si>
    <t>27년 10월</t>
  </si>
  <si>
    <t>27년 11월</t>
  </si>
  <si>
    <t>27년 12월</t>
  </si>
  <si>
    <t>28년 1월</t>
    <phoneticPr fontId="3" type="noConversion"/>
  </si>
  <si>
    <t>28년 2월</t>
  </si>
  <si>
    <t>28년 3월</t>
  </si>
  <si>
    <t>28년 4월</t>
  </si>
  <si>
    <t>28년 5월</t>
  </si>
  <si>
    <t>28년 6월</t>
  </si>
  <si>
    <t>28년 7월</t>
  </si>
  <si>
    <t>28년 8월</t>
  </si>
  <si>
    <t>28년 9월</t>
  </si>
  <si>
    <t>28년 10월</t>
  </si>
  <si>
    <t>28년 11월</t>
  </si>
  <si>
    <t>28년 12월</t>
  </si>
  <si>
    <t>기획/개발</t>
    <phoneticPr fontId="3" type="noConversion"/>
  </si>
  <si>
    <t>청구자동화 + 앱 MVP</t>
    <phoneticPr fontId="3" type="noConversion"/>
  </si>
  <si>
    <t>전산 구축</t>
    <phoneticPr fontId="3" type="noConversion"/>
  </si>
  <si>
    <t>Ver 2</t>
    <phoneticPr fontId="3" type="noConversion"/>
  </si>
  <si>
    <t>VER2 전략 최적화</t>
    <phoneticPr fontId="3" type="noConversion"/>
  </si>
  <si>
    <t>보험 드러내기 시작..?</t>
    <phoneticPr fontId="3" type="noConversion"/>
  </si>
  <si>
    <t>액션</t>
    <phoneticPr fontId="3" type="noConversion"/>
  </si>
  <si>
    <t>GA 설립 준비</t>
    <phoneticPr fontId="3" type="noConversion"/>
  </si>
  <si>
    <t>서류발급 조직 구축(서울)</t>
    <phoneticPr fontId="3" type="noConversion"/>
  </si>
  <si>
    <t>GA 설립, 준법감시체계</t>
    <phoneticPr fontId="3" type="noConversion"/>
  </si>
  <si>
    <t>대건 고도화, 브랜딩, CRM</t>
    <phoneticPr fontId="3" type="noConversion"/>
  </si>
  <si>
    <t>서류 조직 (수도권) 구축</t>
    <phoneticPr fontId="3" type="noConversion"/>
  </si>
  <si>
    <t>대건 외 추가 제휴처</t>
    <phoneticPr fontId="3" type="noConversion"/>
  </si>
  <si>
    <t>비고</t>
    <phoneticPr fontId="3" type="noConversion"/>
  </si>
  <si>
    <t>소개비율 80%(경력 기준)</t>
    <phoneticPr fontId="3" type="noConversion"/>
  </si>
  <si>
    <t>월납</t>
    <phoneticPr fontId="3" type="noConversion"/>
  </si>
  <si>
    <t>계약고객수(월)</t>
    <phoneticPr fontId="3" type="noConversion"/>
  </si>
  <si>
    <t>지출 총액</t>
    <phoneticPr fontId="3" type="noConversion"/>
  </si>
  <si>
    <t>최종수익(익월)</t>
    <phoneticPr fontId="3" type="noConversion"/>
  </si>
  <si>
    <t>2차년도수익(900%)</t>
    <phoneticPr fontId="3" type="noConversion"/>
  </si>
  <si>
    <t>현재 인원</t>
    <phoneticPr fontId="3" type="noConversion"/>
  </si>
  <si>
    <t>채용 인원</t>
    <phoneticPr fontId="3" type="noConversion"/>
  </si>
  <si>
    <t>영업 관리자</t>
    <phoneticPr fontId="3" type="noConversion"/>
  </si>
  <si>
    <t>본부장</t>
    <phoneticPr fontId="3" type="noConversion"/>
  </si>
  <si>
    <t>현재 콜 인원</t>
    <phoneticPr fontId="3" type="noConversion"/>
  </si>
  <si>
    <t>콜 채용 인원</t>
    <phoneticPr fontId="3" type="noConversion"/>
  </si>
  <si>
    <t>콜총괄</t>
    <phoneticPr fontId="3" type="noConversion"/>
  </si>
  <si>
    <t>콜관리자</t>
    <phoneticPr fontId="3" type="noConversion"/>
  </si>
  <si>
    <t>청구팀</t>
    <phoneticPr fontId="3" type="noConversion"/>
  </si>
  <si>
    <t>1인당 청구건</t>
    <phoneticPr fontId="3" type="noConversion"/>
  </si>
  <si>
    <t>청구건수</t>
    <phoneticPr fontId="3" type="noConversion"/>
  </si>
  <si>
    <t>필요db장수(일)</t>
    <phoneticPr fontId="3" type="noConversion"/>
  </si>
  <si>
    <t>익월 수익(1150%)</t>
    <phoneticPr fontId="3" type="noConversion"/>
  </si>
  <si>
    <t>기본급(지출)</t>
    <phoneticPr fontId="3" type="noConversion"/>
  </si>
  <si>
    <t>영업채용인력 지원(지출)</t>
    <phoneticPr fontId="3" type="noConversion"/>
  </si>
  <si>
    <t>영업 수당(지출)</t>
    <phoneticPr fontId="3" type="noConversion"/>
  </si>
  <si>
    <t>팀장 수당(지출)</t>
    <phoneticPr fontId="3" type="noConversion"/>
  </si>
  <si>
    <t>본부장(지출)(수정 예정)</t>
    <phoneticPr fontId="3" type="noConversion"/>
  </si>
  <si>
    <t>콜 급여(지출)</t>
    <phoneticPr fontId="3" type="noConversion"/>
  </si>
  <si>
    <t>콜러채용인력 지원(지출)</t>
    <phoneticPr fontId="3" type="noConversion"/>
  </si>
  <si>
    <t>콜관리자 급여(지출)</t>
    <phoneticPr fontId="3" type="noConversion"/>
  </si>
  <si>
    <t>콜 총괄 급여(지출)</t>
    <phoneticPr fontId="3" type="noConversion"/>
  </si>
  <si>
    <t>청구팀(지출)</t>
    <phoneticPr fontId="3" type="noConversion"/>
  </si>
  <si>
    <t>마케팅비용</t>
    <phoneticPr fontId="3" type="noConversion"/>
  </si>
  <si>
    <t>서류 비용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</si>
</sst>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1" applyFont="1" applyAlignment="1">
      <alignment horizontal="center" vertical="center"/>
    </xf>
    <xf numFmtId="176" fontId="0" fillId="2" borderId="0" xfId="1" applyFont="1" applyFill="1" applyAlignment="1">
      <alignment horizontal="center" vertical="center"/>
    </xf>
    <xf numFmtId="176" fontId="2" fillId="0" borderId="0" xfId="1" applyFont="1" applyAlignment="1">
      <alignment horizontal="center" vertical="center"/>
    </xf>
    <xf numFmtId="176" fontId="2" fillId="2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1" applyFont="1" applyAlignment="1">
      <alignment horizontal="center" vertical="center"/>
    </xf>
    <xf numFmtId="176" fontId="4" fillId="2" borderId="0" xfId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B4F4-6C0F-904A-9C42-A00EBEFEE669}">
  <dimension ref="A1:AJ34"/>
  <sheetViews>
    <sheetView tabSelected="1" workbookViewId="0">
      <selection activeCell="B22" sqref="B22:C22"/>
    </sheetView>
  </sheetViews>
  <sheetFormatPr baseColWidth="10" defaultRowHeight="17"/>
  <cols>
    <col min="1" max="1" width="25" style="4" bestFit="1" customWidth="1"/>
    <col min="2" max="36" width="21.1640625" style="4" customWidth="1"/>
    <col min="37" max="16384" width="10.83203125" style="4"/>
  </cols>
  <sheetData>
    <row r="1" spans="1: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s="4" t="s">
        <v>36</v>
      </c>
      <c r="C2" s="4" t="s">
        <v>37</v>
      </c>
      <c r="D2" s="4" t="s">
        <v>38</v>
      </c>
      <c r="G2" s="4" t="s">
        <v>39</v>
      </c>
      <c r="I2" s="4" t="s">
        <v>40</v>
      </c>
      <c r="K2" s="4" t="s">
        <v>41</v>
      </c>
    </row>
    <row r="3" spans="1:36">
      <c r="A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J3" s="4" t="s">
        <v>48</v>
      </c>
    </row>
    <row r="4" spans="1:36">
      <c r="A4" s="4" t="s">
        <v>49</v>
      </c>
      <c r="E4" s="4" t="s">
        <v>50</v>
      </c>
    </row>
    <row r="5" spans="1:36">
      <c r="A5" s="5" t="s">
        <v>51</v>
      </c>
      <c r="B5" s="5">
        <f t="shared" ref="B5:AJ5" si="0">B10*2000000</f>
        <v>46000000</v>
      </c>
      <c r="C5" s="5">
        <f t="shared" si="0"/>
        <v>72000000</v>
      </c>
      <c r="D5" s="5">
        <f t="shared" si="0"/>
        <v>108000000</v>
      </c>
      <c r="E5" s="5">
        <f t="shared" si="0"/>
        <v>144000000</v>
      </c>
      <c r="F5" s="5">
        <f t="shared" si="0"/>
        <v>180000000</v>
      </c>
      <c r="G5" s="5">
        <f t="shared" si="0"/>
        <v>216000000</v>
      </c>
      <c r="H5" s="5">
        <f t="shared" si="0"/>
        <v>252000000</v>
      </c>
      <c r="I5" s="5">
        <f t="shared" si="0"/>
        <v>288000000</v>
      </c>
      <c r="J5" s="5">
        <f t="shared" si="0"/>
        <v>324000000</v>
      </c>
      <c r="K5" s="5">
        <f t="shared" si="0"/>
        <v>360000000</v>
      </c>
      <c r="L5" s="5">
        <f t="shared" si="0"/>
        <v>396000000</v>
      </c>
      <c r="M5" s="5">
        <f t="shared" si="0"/>
        <v>432000000</v>
      </c>
      <c r="N5" s="5">
        <f t="shared" si="0"/>
        <v>468000000</v>
      </c>
      <c r="O5" s="5">
        <f t="shared" si="0"/>
        <v>504000000</v>
      </c>
      <c r="P5" s="5">
        <f t="shared" si="0"/>
        <v>540000000</v>
      </c>
      <c r="Q5" s="5">
        <f t="shared" si="0"/>
        <v>576000000</v>
      </c>
      <c r="R5" s="5">
        <f t="shared" si="0"/>
        <v>612000000</v>
      </c>
      <c r="S5" s="5">
        <f t="shared" si="0"/>
        <v>648000000</v>
      </c>
      <c r="T5" s="5">
        <f t="shared" si="0"/>
        <v>684000000</v>
      </c>
      <c r="U5" s="5">
        <f t="shared" si="0"/>
        <v>720000000</v>
      </c>
      <c r="V5" s="5">
        <f t="shared" si="0"/>
        <v>756000000</v>
      </c>
      <c r="W5" s="5">
        <f t="shared" si="0"/>
        <v>792000000</v>
      </c>
      <c r="X5" s="5">
        <f t="shared" si="0"/>
        <v>828000000</v>
      </c>
      <c r="Y5" s="5">
        <f t="shared" si="0"/>
        <v>864000000</v>
      </c>
      <c r="Z5" s="5">
        <f t="shared" si="0"/>
        <v>900000000</v>
      </c>
      <c r="AA5" s="5">
        <f t="shared" si="0"/>
        <v>936000000</v>
      </c>
      <c r="AB5" s="5">
        <f t="shared" si="0"/>
        <v>972000000</v>
      </c>
      <c r="AC5" s="5">
        <f t="shared" si="0"/>
        <v>1008000000</v>
      </c>
      <c r="AD5" s="6">
        <f t="shared" si="0"/>
        <v>1044000000</v>
      </c>
      <c r="AE5" s="5">
        <f t="shared" si="0"/>
        <v>1080000000</v>
      </c>
      <c r="AF5" s="5">
        <f t="shared" si="0"/>
        <v>1116000000</v>
      </c>
      <c r="AG5" s="5">
        <f t="shared" si="0"/>
        <v>1152000000</v>
      </c>
      <c r="AH5" s="5">
        <f t="shared" si="0"/>
        <v>1188000000</v>
      </c>
      <c r="AI5" s="5">
        <f t="shared" si="0"/>
        <v>1224000000</v>
      </c>
      <c r="AJ5" s="5">
        <f t="shared" si="0"/>
        <v>1260000000</v>
      </c>
    </row>
    <row r="6" spans="1:36">
      <c r="A6" s="4" t="s">
        <v>52</v>
      </c>
      <c r="B6" s="5">
        <f t="shared" ref="B6:AJ6" si="1">B5/150000</f>
        <v>306.66666666666669</v>
      </c>
      <c r="C6" s="5">
        <f t="shared" si="1"/>
        <v>480</v>
      </c>
      <c r="D6" s="5">
        <f t="shared" si="1"/>
        <v>720</v>
      </c>
      <c r="E6" s="5">
        <f t="shared" si="1"/>
        <v>960</v>
      </c>
      <c r="F6" s="5">
        <f t="shared" si="1"/>
        <v>1200</v>
      </c>
      <c r="G6" s="5">
        <f t="shared" si="1"/>
        <v>1440</v>
      </c>
      <c r="H6" s="5">
        <f t="shared" si="1"/>
        <v>1680</v>
      </c>
      <c r="I6" s="5">
        <f t="shared" si="1"/>
        <v>1920</v>
      </c>
      <c r="J6" s="5">
        <f t="shared" si="1"/>
        <v>2160</v>
      </c>
      <c r="K6" s="5">
        <f t="shared" si="1"/>
        <v>2400</v>
      </c>
      <c r="L6" s="5">
        <f t="shared" si="1"/>
        <v>2640</v>
      </c>
      <c r="M6" s="5">
        <f t="shared" si="1"/>
        <v>2880</v>
      </c>
      <c r="N6" s="5">
        <f t="shared" si="1"/>
        <v>3120</v>
      </c>
      <c r="O6" s="5">
        <f t="shared" si="1"/>
        <v>3360</v>
      </c>
      <c r="P6" s="5">
        <f t="shared" si="1"/>
        <v>3600</v>
      </c>
      <c r="Q6" s="5">
        <f t="shared" si="1"/>
        <v>3840</v>
      </c>
      <c r="R6" s="5">
        <f t="shared" si="1"/>
        <v>4080</v>
      </c>
      <c r="S6" s="5">
        <f t="shared" si="1"/>
        <v>4320</v>
      </c>
      <c r="T6" s="5">
        <f t="shared" si="1"/>
        <v>4560</v>
      </c>
      <c r="U6" s="5">
        <f t="shared" si="1"/>
        <v>4800</v>
      </c>
      <c r="V6" s="5">
        <f t="shared" si="1"/>
        <v>5040</v>
      </c>
      <c r="W6" s="5">
        <f t="shared" si="1"/>
        <v>5280</v>
      </c>
      <c r="X6" s="5">
        <f t="shared" si="1"/>
        <v>5520</v>
      </c>
      <c r="Y6" s="5">
        <f t="shared" si="1"/>
        <v>5760</v>
      </c>
      <c r="Z6" s="5">
        <f t="shared" si="1"/>
        <v>6000</v>
      </c>
      <c r="AA6" s="5">
        <f t="shared" si="1"/>
        <v>6240</v>
      </c>
      <c r="AB6" s="5">
        <f t="shared" si="1"/>
        <v>6480</v>
      </c>
      <c r="AC6" s="5">
        <f t="shared" si="1"/>
        <v>6720</v>
      </c>
      <c r="AD6" s="5">
        <f t="shared" si="1"/>
        <v>6960</v>
      </c>
      <c r="AE6" s="5">
        <f t="shared" si="1"/>
        <v>7200</v>
      </c>
      <c r="AF6" s="5">
        <f t="shared" si="1"/>
        <v>7440</v>
      </c>
      <c r="AG6" s="5">
        <f t="shared" si="1"/>
        <v>7680</v>
      </c>
      <c r="AH6" s="5">
        <f t="shared" si="1"/>
        <v>7920</v>
      </c>
      <c r="AI6" s="5">
        <f t="shared" si="1"/>
        <v>8160</v>
      </c>
      <c r="AJ6" s="5">
        <f t="shared" si="1"/>
        <v>8400</v>
      </c>
    </row>
    <row r="7" spans="1:36">
      <c r="A7" s="1" t="s">
        <v>53</v>
      </c>
      <c r="B7" s="7">
        <f t="shared" ref="B7:AJ7" si="2">SUM(B23:B34)</f>
        <v>587800000</v>
      </c>
      <c r="C7" s="7">
        <f t="shared" si="2"/>
        <v>903600000</v>
      </c>
      <c r="D7" s="7">
        <f t="shared" si="2"/>
        <v>1297400000</v>
      </c>
      <c r="E7" s="7">
        <f t="shared" si="2"/>
        <v>1690200000</v>
      </c>
      <c r="F7" s="7">
        <f t="shared" si="2"/>
        <v>2079000000</v>
      </c>
      <c r="G7" s="7">
        <f t="shared" si="2"/>
        <v>2471800000</v>
      </c>
      <c r="H7" s="7">
        <f t="shared" si="2"/>
        <v>2860600000</v>
      </c>
      <c r="I7" s="7">
        <f t="shared" si="2"/>
        <v>3253400000</v>
      </c>
      <c r="J7" s="7">
        <f t="shared" si="2"/>
        <v>3646200000</v>
      </c>
      <c r="K7" s="7">
        <f t="shared" si="2"/>
        <v>4035000000</v>
      </c>
      <c r="L7" s="7">
        <f t="shared" si="2"/>
        <v>4427800000</v>
      </c>
      <c r="M7" s="7">
        <f t="shared" si="2"/>
        <v>5079000000</v>
      </c>
      <c r="N7" s="7">
        <f t="shared" si="2"/>
        <v>5497000000</v>
      </c>
      <c r="O7" s="7">
        <f t="shared" si="2"/>
        <v>5915000000</v>
      </c>
      <c r="P7" s="7">
        <f t="shared" si="2"/>
        <v>6329000000</v>
      </c>
      <c r="Q7" s="7">
        <f t="shared" si="2"/>
        <v>6747000000</v>
      </c>
      <c r="R7" s="7">
        <f t="shared" si="2"/>
        <v>7165000000</v>
      </c>
      <c r="S7" s="7">
        <f t="shared" si="2"/>
        <v>7579000000</v>
      </c>
      <c r="T7" s="7">
        <f t="shared" si="2"/>
        <v>7997000000</v>
      </c>
      <c r="U7" s="7">
        <f t="shared" si="2"/>
        <v>8411000000</v>
      </c>
      <c r="V7" s="7">
        <f t="shared" si="2"/>
        <v>8829000000</v>
      </c>
      <c r="W7" s="7">
        <f t="shared" si="2"/>
        <v>9247000000</v>
      </c>
      <c r="X7" s="7">
        <f t="shared" si="2"/>
        <v>9661000000</v>
      </c>
      <c r="Y7" s="7">
        <f t="shared" si="2"/>
        <v>10079000000</v>
      </c>
      <c r="Z7" s="7">
        <f t="shared" si="2"/>
        <v>10493000000</v>
      </c>
      <c r="AA7" s="7">
        <f t="shared" si="2"/>
        <v>10911000000</v>
      </c>
      <c r="AB7" s="7">
        <f t="shared" si="2"/>
        <v>11329000000</v>
      </c>
      <c r="AC7" s="7">
        <f t="shared" si="2"/>
        <v>11743000000</v>
      </c>
      <c r="AD7" s="8">
        <f t="shared" si="2"/>
        <v>12161000000</v>
      </c>
      <c r="AE7" s="7">
        <f t="shared" si="2"/>
        <v>12575000000</v>
      </c>
      <c r="AF7" s="7">
        <f t="shared" si="2"/>
        <v>12993000000</v>
      </c>
      <c r="AG7" s="7">
        <f t="shared" si="2"/>
        <v>13411000000</v>
      </c>
      <c r="AH7" s="7">
        <f t="shared" si="2"/>
        <v>13825000000</v>
      </c>
      <c r="AI7" s="7">
        <f t="shared" si="2"/>
        <v>14243000000</v>
      </c>
      <c r="AJ7" s="7">
        <f t="shared" si="2"/>
        <v>14661000000</v>
      </c>
    </row>
    <row r="8" spans="1:36">
      <c r="A8" s="9" t="s">
        <v>54</v>
      </c>
      <c r="B8" s="10">
        <f t="shared" ref="B8:AJ8" si="3">B22-B7</f>
        <v>-58800000</v>
      </c>
      <c r="C8" s="10">
        <f t="shared" si="3"/>
        <v>-75600000</v>
      </c>
      <c r="D8" s="10">
        <f t="shared" si="3"/>
        <v>-55400000</v>
      </c>
      <c r="E8" s="10">
        <f t="shared" si="3"/>
        <v>-34200000</v>
      </c>
      <c r="F8" s="10">
        <f t="shared" si="3"/>
        <v>-9000000</v>
      </c>
      <c r="G8" s="10">
        <f t="shared" si="3"/>
        <v>12200000</v>
      </c>
      <c r="H8" s="10">
        <f t="shared" si="3"/>
        <v>37400000</v>
      </c>
      <c r="I8" s="10">
        <f t="shared" si="3"/>
        <v>58600000</v>
      </c>
      <c r="J8" s="10">
        <f t="shared" si="3"/>
        <v>79800000</v>
      </c>
      <c r="K8" s="10">
        <f t="shared" si="3"/>
        <v>105000000</v>
      </c>
      <c r="L8" s="10">
        <f t="shared" si="3"/>
        <v>126200000</v>
      </c>
      <c r="M8" s="10">
        <f t="shared" si="3"/>
        <v>-111000000</v>
      </c>
      <c r="N8" s="10">
        <f t="shared" si="3"/>
        <v>-115000000</v>
      </c>
      <c r="O8" s="10">
        <f t="shared" si="3"/>
        <v>-119000000</v>
      </c>
      <c r="P8" s="10">
        <f t="shared" si="3"/>
        <v>-119000000</v>
      </c>
      <c r="Q8" s="10">
        <f t="shared" si="3"/>
        <v>-123000000</v>
      </c>
      <c r="R8" s="10">
        <f t="shared" si="3"/>
        <v>-127000000</v>
      </c>
      <c r="S8" s="10">
        <f t="shared" si="3"/>
        <v>-127000000</v>
      </c>
      <c r="T8" s="10">
        <f t="shared" si="3"/>
        <v>-131000000</v>
      </c>
      <c r="U8" s="10">
        <f t="shared" si="3"/>
        <v>-131000000</v>
      </c>
      <c r="V8" s="10">
        <f t="shared" si="3"/>
        <v>-135000000</v>
      </c>
      <c r="W8" s="10">
        <f t="shared" si="3"/>
        <v>-139000000</v>
      </c>
      <c r="X8" s="10">
        <f t="shared" si="3"/>
        <v>-139000000</v>
      </c>
      <c r="Y8" s="10">
        <f t="shared" si="3"/>
        <v>-143000000</v>
      </c>
      <c r="Z8" s="10">
        <f t="shared" si="3"/>
        <v>-143000000</v>
      </c>
      <c r="AA8" s="10">
        <f t="shared" si="3"/>
        <v>-147000000</v>
      </c>
      <c r="AB8" s="10">
        <f t="shared" si="3"/>
        <v>-151000000</v>
      </c>
      <c r="AC8" s="10">
        <f t="shared" si="3"/>
        <v>-151000000</v>
      </c>
      <c r="AD8" s="11">
        <f t="shared" si="3"/>
        <v>-155000000</v>
      </c>
      <c r="AE8" s="10">
        <f t="shared" si="3"/>
        <v>-155000000</v>
      </c>
      <c r="AF8" s="10">
        <f t="shared" si="3"/>
        <v>-159000000</v>
      </c>
      <c r="AG8" s="10">
        <f t="shared" si="3"/>
        <v>-163000000</v>
      </c>
      <c r="AH8" s="10">
        <f t="shared" si="3"/>
        <v>-163000000</v>
      </c>
      <c r="AI8" s="10">
        <f t="shared" si="3"/>
        <v>-167000000</v>
      </c>
      <c r="AJ8" s="10">
        <f t="shared" si="3"/>
        <v>-171000000</v>
      </c>
    </row>
    <row r="9" spans="1:36">
      <c r="A9" s="4" t="s">
        <v>55</v>
      </c>
      <c r="B9" s="5">
        <f t="shared" ref="B9:AJ9" si="4">B5*9</f>
        <v>414000000</v>
      </c>
      <c r="C9" s="5">
        <f t="shared" si="4"/>
        <v>648000000</v>
      </c>
      <c r="D9" s="5">
        <f t="shared" si="4"/>
        <v>972000000</v>
      </c>
      <c r="E9" s="5">
        <f t="shared" si="4"/>
        <v>1296000000</v>
      </c>
      <c r="F9" s="5">
        <f t="shared" si="4"/>
        <v>1620000000</v>
      </c>
      <c r="G9" s="5">
        <f t="shared" si="4"/>
        <v>1944000000</v>
      </c>
      <c r="H9" s="5">
        <f t="shared" si="4"/>
        <v>2268000000</v>
      </c>
      <c r="I9" s="5">
        <f t="shared" si="4"/>
        <v>2592000000</v>
      </c>
      <c r="J9" s="5">
        <f t="shared" si="4"/>
        <v>2916000000</v>
      </c>
      <c r="K9" s="5">
        <f t="shared" si="4"/>
        <v>3240000000</v>
      </c>
      <c r="L9" s="5">
        <f t="shared" si="4"/>
        <v>3564000000</v>
      </c>
      <c r="M9" s="5">
        <f t="shared" si="4"/>
        <v>3888000000</v>
      </c>
      <c r="N9" s="5">
        <f t="shared" si="4"/>
        <v>4212000000</v>
      </c>
      <c r="O9" s="5">
        <f t="shared" si="4"/>
        <v>4536000000</v>
      </c>
      <c r="P9" s="5">
        <f t="shared" si="4"/>
        <v>4860000000</v>
      </c>
      <c r="Q9" s="5">
        <f t="shared" si="4"/>
        <v>5184000000</v>
      </c>
      <c r="R9" s="5">
        <f t="shared" si="4"/>
        <v>5508000000</v>
      </c>
      <c r="S9" s="5">
        <f t="shared" si="4"/>
        <v>5832000000</v>
      </c>
      <c r="T9" s="5">
        <f t="shared" si="4"/>
        <v>6156000000</v>
      </c>
      <c r="U9" s="5">
        <f t="shared" si="4"/>
        <v>6480000000</v>
      </c>
      <c r="V9" s="5">
        <f t="shared" si="4"/>
        <v>6804000000</v>
      </c>
      <c r="W9" s="5">
        <f t="shared" si="4"/>
        <v>7128000000</v>
      </c>
      <c r="X9" s="5">
        <f t="shared" si="4"/>
        <v>7452000000</v>
      </c>
      <c r="Y9" s="5">
        <f t="shared" si="4"/>
        <v>7776000000</v>
      </c>
      <c r="Z9" s="5">
        <f t="shared" si="4"/>
        <v>8100000000</v>
      </c>
      <c r="AA9" s="5">
        <f t="shared" si="4"/>
        <v>8424000000</v>
      </c>
      <c r="AB9" s="5">
        <f t="shared" si="4"/>
        <v>8748000000</v>
      </c>
      <c r="AC9" s="5">
        <f t="shared" si="4"/>
        <v>9072000000</v>
      </c>
      <c r="AD9" s="6">
        <f t="shared" si="4"/>
        <v>9396000000</v>
      </c>
      <c r="AE9" s="5">
        <f t="shared" si="4"/>
        <v>9720000000</v>
      </c>
      <c r="AF9" s="5">
        <f t="shared" si="4"/>
        <v>10044000000</v>
      </c>
      <c r="AG9" s="5">
        <f t="shared" si="4"/>
        <v>10368000000</v>
      </c>
      <c r="AH9" s="5">
        <f t="shared" si="4"/>
        <v>10692000000</v>
      </c>
      <c r="AI9" s="5">
        <f t="shared" si="4"/>
        <v>11016000000</v>
      </c>
      <c r="AJ9" s="5">
        <f t="shared" si="4"/>
        <v>11340000000</v>
      </c>
    </row>
    <row r="10" spans="1:36">
      <c r="A10" s="4" t="s">
        <v>56</v>
      </c>
      <c r="B10" s="5">
        <v>23</v>
      </c>
      <c r="C10" s="5">
        <v>36</v>
      </c>
      <c r="D10" s="5">
        <f t="shared" ref="D10:AJ10" si="5">C10+18</f>
        <v>54</v>
      </c>
      <c r="E10" s="5">
        <f t="shared" si="5"/>
        <v>72</v>
      </c>
      <c r="F10" s="5">
        <f t="shared" si="5"/>
        <v>90</v>
      </c>
      <c r="G10" s="5">
        <f t="shared" si="5"/>
        <v>108</v>
      </c>
      <c r="H10" s="5">
        <f t="shared" si="5"/>
        <v>126</v>
      </c>
      <c r="I10" s="5">
        <f t="shared" si="5"/>
        <v>144</v>
      </c>
      <c r="J10" s="5">
        <f t="shared" si="5"/>
        <v>162</v>
      </c>
      <c r="K10" s="5">
        <f t="shared" si="5"/>
        <v>180</v>
      </c>
      <c r="L10" s="5">
        <f t="shared" si="5"/>
        <v>198</v>
      </c>
      <c r="M10" s="5">
        <f t="shared" si="5"/>
        <v>216</v>
      </c>
      <c r="N10" s="5">
        <f t="shared" si="5"/>
        <v>234</v>
      </c>
      <c r="O10" s="5">
        <f t="shared" si="5"/>
        <v>252</v>
      </c>
      <c r="P10" s="5">
        <f t="shared" si="5"/>
        <v>270</v>
      </c>
      <c r="Q10" s="5">
        <f t="shared" si="5"/>
        <v>288</v>
      </c>
      <c r="R10" s="5">
        <f t="shared" si="5"/>
        <v>306</v>
      </c>
      <c r="S10" s="5">
        <f t="shared" si="5"/>
        <v>324</v>
      </c>
      <c r="T10" s="5">
        <f t="shared" si="5"/>
        <v>342</v>
      </c>
      <c r="U10" s="5">
        <f t="shared" si="5"/>
        <v>360</v>
      </c>
      <c r="V10" s="5">
        <f t="shared" si="5"/>
        <v>378</v>
      </c>
      <c r="W10" s="5">
        <f t="shared" si="5"/>
        <v>396</v>
      </c>
      <c r="X10" s="5">
        <f t="shared" si="5"/>
        <v>414</v>
      </c>
      <c r="Y10" s="5">
        <f t="shared" si="5"/>
        <v>432</v>
      </c>
      <c r="Z10" s="5">
        <f t="shared" si="5"/>
        <v>450</v>
      </c>
      <c r="AA10" s="5">
        <f t="shared" si="5"/>
        <v>468</v>
      </c>
      <c r="AB10" s="5">
        <f t="shared" si="5"/>
        <v>486</v>
      </c>
      <c r="AC10" s="5">
        <f t="shared" si="5"/>
        <v>504</v>
      </c>
      <c r="AD10" s="5">
        <f t="shared" si="5"/>
        <v>522</v>
      </c>
      <c r="AE10" s="5">
        <f t="shared" si="5"/>
        <v>540</v>
      </c>
      <c r="AF10" s="5">
        <f t="shared" si="5"/>
        <v>558</v>
      </c>
      <c r="AG10" s="5">
        <f t="shared" si="5"/>
        <v>576</v>
      </c>
      <c r="AH10" s="5">
        <f t="shared" si="5"/>
        <v>594</v>
      </c>
      <c r="AI10" s="5">
        <f t="shared" si="5"/>
        <v>612</v>
      </c>
      <c r="AJ10" s="5">
        <f t="shared" si="5"/>
        <v>630</v>
      </c>
    </row>
    <row r="11" spans="1:36">
      <c r="A11" s="4" t="s">
        <v>57</v>
      </c>
      <c r="B11" s="5">
        <v>15</v>
      </c>
      <c r="C11" s="5">
        <v>20</v>
      </c>
      <c r="D11" s="5">
        <v>20</v>
      </c>
      <c r="E11" s="5">
        <v>20</v>
      </c>
      <c r="F11" s="5">
        <v>20</v>
      </c>
      <c r="G11" s="5">
        <v>20</v>
      </c>
      <c r="H11" s="5">
        <v>20</v>
      </c>
      <c r="I11" s="5">
        <v>20</v>
      </c>
      <c r="J11" s="5">
        <v>20</v>
      </c>
      <c r="K11" s="5">
        <v>20</v>
      </c>
      <c r="L11" s="5">
        <v>20</v>
      </c>
      <c r="M11" s="5">
        <v>20</v>
      </c>
      <c r="N11" s="5">
        <v>20</v>
      </c>
      <c r="O11" s="5">
        <v>20</v>
      </c>
      <c r="P11" s="5">
        <v>20</v>
      </c>
      <c r="Q11" s="5">
        <v>20</v>
      </c>
      <c r="R11" s="5">
        <v>20</v>
      </c>
      <c r="S11" s="5">
        <v>20</v>
      </c>
      <c r="T11" s="5">
        <v>20</v>
      </c>
      <c r="U11" s="5">
        <v>20</v>
      </c>
      <c r="V11" s="5">
        <v>20</v>
      </c>
      <c r="W11" s="5">
        <v>20</v>
      </c>
      <c r="X11" s="5">
        <v>20</v>
      </c>
      <c r="Y11" s="5">
        <v>20</v>
      </c>
      <c r="Z11" s="5">
        <v>20</v>
      </c>
      <c r="AA11" s="5">
        <v>20</v>
      </c>
      <c r="AB11" s="5">
        <v>20</v>
      </c>
      <c r="AC11" s="5">
        <v>20</v>
      </c>
      <c r="AD11" s="6">
        <v>20</v>
      </c>
      <c r="AE11" s="5">
        <v>20</v>
      </c>
      <c r="AF11" s="5">
        <v>20</v>
      </c>
      <c r="AG11" s="5">
        <v>20</v>
      </c>
      <c r="AH11" s="5">
        <v>20</v>
      </c>
      <c r="AI11" s="5">
        <v>20</v>
      </c>
      <c r="AJ11" s="5">
        <v>20</v>
      </c>
    </row>
    <row r="12" spans="1:36">
      <c r="A12" s="4" t="s">
        <v>58</v>
      </c>
      <c r="B12" s="5">
        <v>3</v>
      </c>
      <c r="C12" s="5">
        <v>5</v>
      </c>
      <c r="D12" s="5">
        <v>7</v>
      </c>
      <c r="E12" s="5">
        <v>9</v>
      </c>
      <c r="F12" s="5">
        <v>11</v>
      </c>
      <c r="G12" s="5">
        <v>13</v>
      </c>
      <c r="H12" s="5">
        <v>15</v>
      </c>
      <c r="I12" s="5">
        <v>17</v>
      </c>
      <c r="J12" s="5">
        <v>19</v>
      </c>
      <c r="K12" s="5">
        <v>21</v>
      </c>
      <c r="L12" s="5">
        <v>23</v>
      </c>
      <c r="M12" s="5">
        <v>25</v>
      </c>
      <c r="N12" s="5">
        <v>27</v>
      </c>
      <c r="O12" s="5">
        <v>29</v>
      </c>
      <c r="P12" s="5">
        <v>31</v>
      </c>
      <c r="Q12" s="5">
        <v>33</v>
      </c>
      <c r="R12" s="5">
        <v>35</v>
      </c>
      <c r="S12" s="5">
        <v>37</v>
      </c>
      <c r="T12" s="5">
        <v>39</v>
      </c>
      <c r="U12" s="5">
        <v>41</v>
      </c>
      <c r="V12" s="5">
        <v>43</v>
      </c>
      <c r="W12" s="5">
        <v>45</v>
      </c>
      <c r="X12" s="5">
        <v>47</v>
      </c>
      <c r="Y12" s="5">
        <v>49</v>
      </c>
      <c r="Z12" s="5">
        <v>51</v>
      </c>
      <c r="AA12" s="5">
        <v>53</v>
      </c>
      <c r="AB12" s="5">
        <v>55</v>
      </c>
      <c r="AC12" s="5">
        <v>57</v>
      </c>
      <c r="AD12" s="6">
        <v>59</v>
      </c>
      <c r="AE12" s="5">
        <v>61</v>
      </c>
      <c r="AF12" s="5">
        <v>63</v>
      </c>
      <c r="AG12" s="5">
        <v>65</v>
      </c>
      <c r="AH12" s="5">
        <v>67</v>
      </c>
      <c r="AI12" s="5">
        <v>69</v>
      </c>
      <c r="AJ12" s="5">
        <v>71</v>
      </c>
    </row>
    <row r="13" spans="1:36">
      <c r="A13" s="4" t="s">
        <v>59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6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</row>
    <row r="14" spans="1:36">
      <c r="A14" s="4" t="s">
        <v>60</v>
      </c>
      <c r="B14" s="5">
        <v>8</v>
      </c>
      <c r="C14" s="5">
        <f t="shared" ref="C14:AJ14" si="6">C10/3</f>
        <v>12</v>
      </c>
      <c r="D14" s="5">
        <f t="shared" si="6"/>
        <v>18</v>
      </c>
      <c r="E14" s="5">
        <f t="shared" si="6"/>
        <v>24</v>
      </c>
      <c r="F14" s="5">
        <f t="shared" si="6"/>
        <v>30</v>
      </c>
      <c r="G14" s="5">
        <f t="shared" si="6"/>
        <v>36</v>
      </c>
      <c r="H14" s="5">
        <f t="shared" si="6"/>
        <v>42</v>
      </c>
      <c r="I14" s="5">
        <f t="shared" si="6"/>
        <v>48</v>
      </c>
      <c r="J14" s="5">
        <f t="shared" si="6"/>
        <v>54</v>
      </c>
      <c r="K14" s="5">
        <f t="shared" si="6"/>
        <v>60</v>
      </c>
      <c r="L14" s="5">
        <f t="shared" si="6"/>
        <v>66</v>
      </c>
      <c r="M14" s="5">
        <f t="shared" si="6"/>
        <v>72</v>
      </c>
      <c r="N14" s="5">
        <f t="shared" si="6"/>
        <v>78</v>
      </c>
      <c r="O14" s="5">
        <f t="shared" si="6"/>
        <v>84</v>
      </c>
      <c r="P14" s="5">
        <f t="shared" si="6"/>
        <v>90</v>
      </c>
      <c r="Q14" s="5">
        <f t="shared" si="6"/>
        <v>96</v>
      </c>
      <c r="R14" s="5">
        <f t="shared" si="6"/>
        <v>102</v>
      </c>
      <c r="S14" s="5">
        <f t="shared" si="6"/>
        <v>108</v>
      </c>
      <c r="T14" s="5">
        <f t="shared" si="6"/>
        <v>114</v>
      </c>
      <c r="U14" s="5">
        <f t="shared" si="6"/>
        <v>120</v>
      </c>
      <c r="V14" s="5">
        <f t="shared" si="6"/>
        <v>126</v>
      </c>
      <c r="W14" s="5">
        <f t="shared" si="6"/>
        <v>132</v>
      </c>
      <c r="X14" s="5">
        <f t="shared" si="6"/>
        <v>138</v>
      </c>
      <c r="Y14" s="5">
        <f t="shared" si="6"/>
        <v>144</v>
      </c>
      <c r="Z14" s="5">
        <f t="shared" si="6"/>
        <v>150</v>
      </c>
      <c r="AA14" s="5">
        <f t="shared" si="6"/>
        <v>156</v>
      </c>
      <c r="AB14" s="5">
        <f t="shared" si="6"/>
        <v>162</v>
      </c>
      <c r="AC14" s="5">
        <f t="shared" si="6"/>
        <v>168</v>
      </c>
      <c r="AD14" s="6">
        <f t="shared" si="6"/>
        <v>174</v>
      </c>
      <c r="AE14" s="5">
        <f t="shared" si="6"/>
        <v>180</v>
      </c>
      <c r="AF14" s="5">
        <f t="shared" si="6"/>
        <v>186</v>
      </c>
      <c r="AG14" s="5">
        <f t="shared" si="6"/>
        <v>192</v>
      </c>
      <c r="AH14" s="5">
        <f t="shared" si="6"/>
        <v>198</v>
      </c>
      <c r="AI14" s="5">
        <f t="shared" si="6"/>
        <v>204</v>
      </c>
      <c r="AJ14" s="5">
        <f t="shared" si="6"/>
        <v>210</v>
      </c>
    </row>
    <row r="15" spans="1:36">
      <c r="A15" s="4" t="s">
        <v>61</v>
      </c>
      <c r="B15" s="5">
        <f t="shared" ref="B15:W15" si="7">C14-B14</f>
        <v>4</v>
      </c>
      <c r="C15" s="5">
        <f t="shared" si="7"/>
        <v>6</v>
      </c>
      <c r="D15" s="5">
        <f t="shared" si="7"/>
        <v>6</v>
      </c>
      <c r="E15" s="5">
        <f t="shared" si="7"/>
        <v>6</v>
      </c>
      <c r="F15" s="5">
        <f t="shared" si="7"/>
        <v>6</v>
      </c>
      <c r="G15" s="5">
        <f t="shared" si="7"/>
        <v>6</v>
      </c>
      <c r="H15" s="5">
        <f t="shared" si="7"/>
        <v>6</v>
      </c>
      <c r="I15" s="5">
        <f t="shared" si="7"/>
        <v>6</v>
      </c>
      <c r="J15" s="5">
        <f t="shared" si="7"/>
        <v>6</v>
      </c>
      <c r="K15" s="5">
        <f t="shared" si="7"/>
        <v>6</v>
      </c>
      <c r="L15" s="5">
        <f t="shared" si="7"/>
        <v>6</v>
      </c>
      <c r="M15" s="5">
        <f t="shared" si="7"/>
        <v>6</v>
      </c>
      <c r="N15" s="5">
        <f t="shared" si="7"/>
        <v>6</v>
      </c>
      <c r="O15" s="5">
        <f t="shared" si="7"/>
        <v>6</v>
      </c>
      <c r="P15" s="5">
        <f t="shared" si="7"/>
        <v>6</v>
      </c>
      <c r="Q15" s="5">
        <f t="shared" si="7"/>
        <v>6</v>
      </c>
      <c r="R15" s="5">
        <f t="shared" si="7"/>
        <v>6</v>
      </c>
      <c r="S15" s="5">
        <f t="shared" si="7"/>
        <v>6</v>
      </c>
      <c r="T15" s="5">
        <f t="shared" si="7"/>
        <v>6</v>
      </c>
      <c r="U15" s="5">
        <f t="shared" si="7"/>
        <v>6</v>
      </c>
      <c r="V15" s="5">
        <f t="shared" si="7"/>
        <v>6</v>
      </c>
      <c r="W15" s="5">
        <f t="shared" si="7"/>
        <v>6</v>
      </c>
      <c r="X15" s="5">
        <v>6</v>
      </c>
      <c r="Y15" s="5">
        <v>6</v>
      </c>
      <c r="Z15" s="5">
        <v>6</v>
      </c>
      <c r="AA15" s="5">
        <v>6</v>
      </c>
      <c r="AB15" s="5">
        <v>6</v>
      </c>
      <c r="AC15" s="5">
        <v>6</v>
      </c>
      <c r="AD15" s="6">
        <v>6</v>
      </c>
      <c r="AE15" s="5">
        <v>6</v>
      </c>
      <c r="AF15" s="5">
        <v>6</v>
      </c>
      <c r="AG15" s="5">
        <v>6</v>
      </c>
      <c r="AH15" s="5">
        <v>6</v>
      </c>
      <c r="AI15" s="5">
        <v>6</v>
      </c>
      <c r="AJ15" s="5">
        <v>6</v>
      </c>
    </row>
    <row r="16" spans="1:36">
      <c r="A16" s="4" t="s">
        <v>62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6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</row>
    <row r="17" spans="1:36">
      <c r="A17" s="4" t="s">
        <v>63</v>
      </c>
      <c r="B17" s="5">
        <v>0</v>
      </c>
      <c r="C17" s="5">
        <v>0</v>
      </c>
      <c r="D17" s="5">
        <v>2</v>
      </c>
      <c r="E17" s="5">
        <v>3</v>
      </c>
      <c r="F17" s="5">
        <v>3</v>
      </c>
      <c r="G17" s="5">
        <v>4</v>
      </c>
      <c r="H17" s="5">
        <v>4</v>
      </c>
      <c r="I17" s="5">
        <v>5</v>
      </c>
      <c r="J17" s="5">
        <v>6</v>
      </c>
      <c r="K17" s="5">
        <v>6</v>
      </c>
      <c r="L17" s="5">
        <v>7</v>
      </c>
      <c r="M17" s="5">
        <v>7</v>
      </c>
      <c r="N17" s="5">
        <v>8</v>
      </c>
      <c r="O17" s="5">
        <v>9</v>
      </c>
      <c r="P17" s="5">
        <v>9</v>
      </c>
      <c r="Q17" s="5">
        <v>10</v>
      </c>
      <c r="R17" s="5">
        <v>11</v>
      </c>
      <c r="S17" s="5">
        <v>11</v>
      </c>
      <c r="T17" s="5">
        <v>12</v>
      </c>
      <c r="U17" s="5">
        <v>12</v>
      </c>
      <c r="V17" s="5">
        <v>13</v>
      </c>
      <c r="W17" s="5">
        <v>14</v>
      </c>
      <c r="X17" s="5">
        <v>14</v>
      </c>
      <c r="Y17" s="5">
        <v>15</v>
      </c>
      <c r="Z17" s="5">
        <v>15</v>
      </c>
      <c r="AA17" s="5">
        <v>16</v>
      </c>
      <c r="AB17" s="5">
        <v>17</v>
      </c>
      <c r="AC17" s="5">
        <v>17</v>
      </c>
      <c r="AD17" s="6">
        <v>18</v>
      </c>
      <c r="AE17" s="5">
        <v>18</v>
      </c>
      <c r="AF17" s="5">
        <v>19</v>
      </c>
      <c r="AG17" s="5">
        <v>20</v>
      </c>
      <c r="AH17" s="5">
        <v>20</v>
      </c>
      <c r="AI17" s="5">
        <v>21</v>
      </c>
      <c r="AJ17" s="5">
        <v>22</v>
      </c>
    </row>
    <row r="18" spans="1:36">
      <c r="A18" s="4" t="s">
        <v>64</v>
      </c>
      <c r="B18" s="5">
        <v>3</v>
      </c>
      <c r="C18" s="5">
        <v>5</v>
      </c>
      <c r="D18" s="5">
        <v>6</v>
      </c>
      <c r="E18" s="5">
        <v>8</v>
      </c>
      <c r="F18" s="5">
        <v>10</v>
      </c>
      <c r="G18" s="5">
        <v>12</v>
      </c>
      <c r="H18" s="5">
        <v>14</v>
      </c>
      <c r="I18" s="5">
        <v>16</v>
      </c>
      <c r="J18" s="5">
        <v>18</v>
      </c>
      <c r="K18" s="5">
        <v>20</v>
      </c>
      <c r="L18" s="5">
        <v>22</v>
      </c>
      <c r="M18" s="5">
        <f t="shared" ref="M18:AJ18" si="8">L18+2</f>
        <v>24</v>
      </c>
      <c r="N18" s="5">
        <f t="shared" si="8"/>
        <v>26</v>
      </c>
      <c r="O18" s="5">
        <f t="shared" si="8"/>
        <v>28</v>
      </c>
      <c r="P18" s="5">
        <f t="shared" si="8"/>
        <v>30</v>
      </c>
      <c r="Q18" s="5">
        <f t="shared" si="8"/>
        <v>32</v>
      </c>
      <c r="R18" s="5">
        <f t="shared" si="8"/>
        <v>34</v>
      </c>
      <c r="S18" s="5">
        <f t="shared" si="8"/>
        <v>36</v>
      </c>
      <c r="T18" s="5">
        <f t="shared" si="8"/>
        <v>38</v>
      </c>
      <c r="U18" s="5">
        <f t="shared" si="8"/>
        <v>40</v>
      </c>
      <c r="V18" s="5">
        <f t="shared" si="8"/>
        <v>42</v>
      </c>
      <c r="W18" s="5">
        <f t="shared" si="8"/>
        <v>44</v>
      </c>
      <c r="X18" s="5">
        <f t="shared" si="8"/>
        <v>46</v>
      </c>
      <c r="Y18" s="5">
        <f t="shared" si="8"/>
        <v>48</v>
      </c>
      <c r="Z18" s="5">
        <f t="shared" si="8"/>
        <v>50</v>
      </c>
      <c r="AA18" s="5">
        <f t="shared" si="8"/>
        <v>52</v>
      </c>
      <c r="AB18" s="5">
        <f t="shared" si="8"/>
        <v>54</v>
      </c>
      <c r="AC18" s="5">
        <f t="shared" si="8"/>
        <v>56</v>
      </c>
      <c r="AD18" s="6">
        <f t="shared" si="8"/>
        <v>58</v>
      </c>
      <c r="AE18" s="5">
        <f t="shared" si="8"/>
        <v>60</v>
      </c>
      <c r="AF18" s="5">
        <f t="shared" si="8"/>
        <v>62</v>
      </c>
      <c r="AG18" s="5">
        <f t="shared" si="8"/>
        <v>64</v>
      </c>
      <c r="AH18" s="5">
        <f t="shared" si="8"/>
        <v>66</v>
      </c>
      <c r="AI18" s="5">
        <f t="shared" si="8"/>
        <v>68</v>
      </c>
      <c r="AJ18" s="5">
        <f t="shared" si="8"/>
        <v>70</v>
      </c>
    </row>
    <row r="19" spans="1:36">
      <c r="A19" s="4" t="s">
        <v>65</v>
      </c>
      <c r="B19" s="5">
        <f t="shared" ref="B19:AJ19" si="9">B20/B18</f>
        <v>383.33333333333331</v>
      </c>
      <c r="C19" s="5">
        <f t="shared" si="9"/>
        <v>360</v>
      </c>
      <c r="D19" s="5">
        <f t="shared" si="9"/>
        <v>450</v>
      </c>
      <c r="E19" s="5">
        <f t="shared" si="9"/>
        <v>450</v>
      </c>
      <c r="F19" s="5">
        <f t="shared" si="9"/>
        <v>450</v>
      </c>
      <c r="G19" s="5">
        <f t="shared" si="9"/>
        <v>450</v>
      </c>
      <c r="H19" s="5">
        <f t="shared" si="9"/>
        <v>450</v>
      </c>
      <c r="I19" s="5">
        <f t="shared" si="9"/>
        <v>450</v>
      </c>
      <c r="J19" s="5">
        <f t="shared" si="9"/>
        <v>450</v>
      </c>
      <c r="K19" s="5">
        <f t="shared" si="9"/>
        <v>450</v>
      </c>
      <c r="L19" s="5">
        <f t="shared" si="9"/>
        <v>450</v>
      </c>
      <c r="M19" s="5">
        <f t="shared" si="9"/>
        <v>450</v>
      </c>
      <c r="N19" s="5">
        <f t="shared" si="9"/>
        <v>450</v>
      </c>
      <c r="O19" s="5">
        <f t="shared" si="9"/>
        <v>450</v>
      </c>
      <c r="P19" s="5">
        <f t="shared" si="9"/>
        <v>450</v>
      </c>
      <c r="Q19" s="5">
        <f t="shared" si="9"/>
        <v>450</v>
      </c>
      <c r="R19" s="5">
        <f t="shared" si="9"/>
        <v>450</v>
      </c>
      <c r="S19" s="5">
        <f t="shared" si="9"/>
        <v>450</v>
      </c>
      <c r="T19" s="5">
        <f t="shared" si="9"/>
        <v>450</v>
      </c>
      <c r="U19" s="5">
        <f t="shared" si="9"/>
        <v>450</v>
      </c>
      <c r="V19" s="5">
        <f t="shared" si="9"/>
        <v>450</v>
      </c>
      <c r="W19" s="5">
        <f t="shared" si="9"/>
        <v>450</v>
      </c>
      <c r="X19" s="5">
        <f t="shared" si="9"/>
        <v>450</v>
      </c>
      <c r="Y19" s="5">
        <f t="shared" si="9"/>
        <v>450</v>
      </c>
      <c r="Z19" s="5">
        <f t="shared" si="9"/>
        <v>450</v>
      </c>
      <c r="AA19" s="5">
        <f t="shared" si="9"/>
        <v>450</v>
      </c>
      <c r="AB19" s="5">
        <f t="shared" si="9"/>
        <v>450</v>
      </c>
      <c r="AC19" s="5">
        <f t="shared" si="9"/>
        <v>450</v>
      </c>
      <c r="AD19" s="5">
        <f t="shared" si="9"/>
        <v>450</v>
      </c>
      <c r="AE19" s="5">
        <f t="shared" si="9"/>
        <v>450</v>
      </c>
      <c r="AF19" s="5">
        <f t="shared" si="9"/>
        <v>450</v>
      </c>
      <c r="AG19" s="5">
        <f t="shared" si="9"/>
        <v>450</v>
      </c>
      <c r="AH19" s="5">
        <f t="shared" si="9"/>
        <v>450</v>
      </c>
      <c r="AI19" s="5">
        <f t="shared" si="9"/>
        <v>450</v>
      </c>
      <c r="AJ19" s="5">
        <f t="shared" si="9"/>
        <v>450</v>
      </c>
    </row>
    <row r="20" spans="1:36">
      <c r="A20" s="4" t="s">
        <v>66</v>
      </c>
      <c r="B20" s="5">
        <f t="shared" ref="B20:AJ20" si="10">B10*50</f>
        <v>1150</v>
      </c>
      <c r="C20" s="5">
        <f t="shared" si="10"/>
        <v>1800</v>
      </c>
      <c r="D20" s="5">
        <f t="shared" si="10"/>
        <v>2700</v>
      </c>
      <c r="E20" s="5">
        <f t="shared" si="10"/>
        <v>3600</v>
      </c>
      <c r="F20" s="5">
        <f t="shared" si="10"/>
        <v>4500</v>
      </c>
      <c r="G20" s="5">
        <f t="shared" si="10"/>
        <v>5400</v>
      </c>
      <c r="H20" s="5">
        <f t="shared" si="10"/>
        <v>6300</v>
      </c>
      <c r="I20" s="5">
        <f t="shared" si="10"/>
        <v>7200</v>
      </c>
      <c r="J20" s="5">
        <f t="shared" si="10"/>
        <v>8100</v>
      </c>
      <c r="K20" s="5">
        <f t="shared" si="10"/>
        <v>9000</v>
      </c>
      <c r="L20" s="5">
        <f t="shared" si="10"/>
        <v>9900</v>
      </c>
      <c r="M20" s="5">
        <f t="shared" si="10"/>
        <v>10800</v>
      </c>
      <c r="N20" s="5">
        <f t="shared" si="10"/>
        <v>11700</v>
      </c>
      <c r="O20" s="5">
        <f t="shared" si="10"/>
        <v>12600</v>
      </c>
      <c r="P20" s="5">
        <f t="shared" si="10"/>
        <v>13500</v>
      </c>
      <c r="Q20" s="5">
        <f t="shared" si="10"/>
        <v>14400</v>
      </c>
      <c r="R20" s="5">
        <f t="shared" si="10"/>
        <v>15300</v>
      </c>
      <c r="S20" s="5">
        <f t="shared" si="10"/>
        <v>16200</v>
      </c>
      <c r="T20" s="5">
        <f t="shared" si="10"/>
        <v>17100</v>
      </c>
      <c r="U20" s="5">
        <f t="shared" si="10"/>
        <v>18000</v>
      </c>
      <c r="V20" s="5">
        <f t="shared" si="10"/>
        <v>18900</v>
      </c>
      <c r="W20" s="5">
        <f t="shared" si="10"/>
        <v>19800</v>
      </c>
      <c r="X20" s="5">
        <f t="shared" si="10"/>
        <v>20700</v>
      </c>
      <c r="Y20" s="5">
        <f t="shared" si="10"/>
        <v>21600</v>
      </c>
      <c r="Z20" s="5">
        <f t="shared" si="10"/>
        <v>22500</v>
      </c>
      <c r="AA20" s="5">
        <f t="shared" si="10"/>
        <v>23400</v>
      </c>
      <c r="AB20" s="5">
        <f t="shared" si="10"/>
        <v>24300</v>
      </c>
      <c r="AC20" s="5">
        <f t="shared" si="10"/>
        <v>25200</v>
      </c>
      <c r="AD20" s="5">
        <f t="shared" si="10"/>
        <v>26100</v>
      </c>
      <c r="AE20" s="5">
        <f t="shared" si="10"/>
        <v>27000</v>
      </c>
      <c r="AF20" s="5">
        <f t="shared" si="10"/>
        <v>27900</v>
      </c>
      <c r="AG20" s="5">
        <f t="shared" si="10"/>
        <v>28800</v>
      </c>
      <c r="AH20" s="5">
        <f t="shared" si="10"/>
        <v>29700</v>
      </c>
      <c r="AI20" s="5">
        <f t="shared" si="10"/>
        <v>30600</v>
      </c>
      <c r="AJ20" s="5">
        <f t="shared" si="10"/>
        <v>31500</v>
      </c>
    </row>
    <row r="21" spans="1:36">
      <c r="A21" s="4" t="s">
        <v>67</v>
      </c>
      <c r="B21" s="5">
        <v>480</v>
      </c>
      <c r="C21" s="5">
        <f t="shared" ref="C21:AJ21" si="11">C14*60</f>
        <v>720</v>
      </c>
      <c r="D21" s="5">
        <f t="shared" si="11"/>
        <v>1080</v>
      </c>
      <c r="E21" s="5">
        <f t="shared" si="11"/>
        <v>1440</v>
      </c>
      <c r="F21" s="5">
        <f t="shared" si="11"/>
        <v>1800</v>
      </c>
      <c r="G21" s="5">
        <f t="shared" si="11"/>
        <v>2160</v>
      </c>
      <c r="H21" s="5">
        <f t="shared" si="11"/>
        <v>2520</v>
      </c>
      <c r="I21" s="5">
        <f t="shared" si="11"/>
        <v>2880</v>
      </c>
      <c r="J21" s="5">
        <f t="shared" si="11"/>
        <v>3240</v>
      </c>
      <c r="K21" s="5">
        <f t="shared" si="11"/>
        <v>3600</v>
      </c>
      <c r="L21" s="5">
        <f t="shared" si="11"/>
        <v>3960</v>
      </c>
      <c r="M21" s="5">
        <f t="shared" si="11"/>
        <v>4320</v>
      </c>
      <c r="N21" s="5">
        <f t="shared" si="11"/>
        <v>4680</v>
      </c>
      <c r="O21" s="5">
        <f t="shared" si="11"/>
        <v>5040</v>
      </c>
      <c r="P21" s="5">
        <f t="shared" si="11"/>
        <v>5400</v>
      </c>
      <c r="Q21" s="5">
        <f t="shared" si="11"/>
        <v>5760</v>
      </c>
      <c r="R21" s="5">
        <f t="shared" si="11"/>
        <v>6120</v>
      </c>
      <c r="S21" s="5">
        <f t="shared" si="11"/>
        <v>6480</v>
      </c>
      <c r="T21" s="5">
        <f t="shared" si="11"/>
        <v>6840</v>
      </c>
      <c r="U21" s="5">
        <f t="shared" si="11"/>
        <v>7200</v>
      </c>
      <c r="V21" s="5">
        <f t="shared" si="11"/>
        <v>7560</v>
      </c>
      <c r="W21" s="5">
        <f t="shared" si="11"/>
        <v>7920</v>
      </c>
      <c r="X21" s="5">
        <f t="shared" si="11"/>
        <v>8280</v>
      </c>
      <c r="Y21" s="5">
        <f t="shared" si="11"/>
        <v>8640</v>
      </c>
      <c r="Z21" s="5">
        <f t="shared" si="11"/>
        <v>9000</v>
      </c>
      <c r="AA21" s="5">
        <f t="shared" si="11"/>
        <v>9360</v>
      </c>
      <c r="AB21" s="5">
        <f t="shared" si="11"/>
        <v>9720</v>
      </c>
      <c r="AC21" s="5">
        <f t="shared" si="11"/>
        <v>10080</v>
      </c>
      <c r="AD21" s="6">
        <f t="shared" si="11"/>
        <v>10440</v>
      </c>
      <c r="AE21" s="5">
        <f t="shared" si="11"/>
        <v>10800</v>
      </c>
      <c r="AF21" s="5">
        <f t="shared" si="11"/>
        <v>11160</v>
      </c>
      <c r="AG21" s="5">
        <f t="shared" si="11"/>
        <v>11520</v>
      </c>
      <c r="AH21" s="5">
        <f t="shared" si="11"/>
        <v>11880</v>
      </c>
      <c r="AI21" s="5">
        <f t="shared" si="11"/>
        <v>12240</v>
      </c>
      <c r="AJ21" s="5">
        <f t="shared" si="11"/>
        <v>12600</v>
      </c>
    </row>
    <row r="22" spans="1:36">
      <c r="A22" s="4" t="s">
        <v>68</v>
      </c>
      <c r="B22" s="5">
        <f>11.5*B5</f>
        <v>529000000</v>
      </c>
      <c r="C22" s="5">
        <f t="shared" ref="C22:AJ22" si="12">11.5*C5</f>
        <v>828000000</v>
      </c>
      <c r="D22" s="5">
        <f t="shared" si="12"/>
        <v>1242000000</v>
      </c>
      <c r="E22" s="5">
        <f t="shared" si="12"/>
        <v>1656000000</v>
      </c>
      <c r="F22" s="5">
        <f t="shared" si="12"/>
        <v>2070000000</v>
      </c>
      <c r="G22" s="5">
        <f t="shared" si="12"/>
        <v>2484000000</v>
      </c>
      <c r="H22" s="5">
        <f t="shared" si="12"/>
        <v>2898000000</v>
      </c>
      <c r="I22" s="5">
        <f t="shared" si="12"/>
        <v>3312000000</v>
      </c>
      <c r="J22" s="5">
        <f t="shared" si="12"/>
        <v>3726000000</v>
      </c>
      <c r="K22" s="5">
        <f t="shared" si="12"/>
        <v>4140000000</v>
      </c>
      <c r="L22" s="5">
        <f t="shared" si="12"/>
        <v>4554000000</v>
      </c>
      <c r="M22" s="5">
        <f t="shared" si="12"/>
        <v>4968000000</v>
      </c>
      <c r="N22" s="5">
        <f t="shared" si="12"/>
        <v>5382000000</v>
      </c>
      <c r="O22" s="5">
        <f t="shared" si="12"/>
        <v>5796000000</v>
      </c>
      <c r="P22" s="5">
        <f t="shared" si="12"/>
        <v>6210000000</v>
      </c>
      <c r="Q22" s="5">
        <f t="shared" si="12"/>
        <v>6624000000</v>
      </c>
      <c r="R22" s="5">
        <f t="shared" si="12"/>
        <v>7038000000</v>
      </c>
      <c r="S22" s="5">
        <f t="shared" si="12"/>
        <v>7452000000</v>
      </c>
      <c r="T22" s="5">
        <f t="shared" si="12"/>
        <v>7866000000</v>
      </c>
      <c r="U22" s="5">
        <f t="shared" si="12"/>
        <v>8280000000</v>
      </c>
      <c r="V22" s="5">
        <f t="shared" si="12"/>
        <v>8694000000</v>
      </c>
      <c r="W22" s="5">
        <f t="shared" si="12"/>
        <v>9108000000</v>
      </c>
      <c r="X22" s="5">
        <f t="shared" si="12"/>
        <v>9522000000</v>
      </c>
      <c r="Y22" s="5">
        <f t="shared" si="12"/>
        <v>9936000000</v>
      </c>
      <c r="Z22" s="5">
        <f t="shared" si="12"/>
        <v>10350000000</v>
      </c>
      <c r="AA22" s="5">
        <f t="shared" si="12"/>
        <v>10764000000</v>
      </c>
      <c r="AB22" s="5">
        <f t="shared" si="12"/>
        <v>11178000000</v>
      </c>
      <c r="AC22" s="5">
        <f t="shared" si="12"/>
        <v>11592000000</v>
      </c>
      <c r="AD22" s="5">
        <f t="shared" si="12"/>
        <v>12006000000</v>
      </c>
      <c r="AE22" s="5">
        <f t="shared" si="12"/>
        <v>12420000000</v>
      </c>
      <c r="AF22" s="5">
        <f t="shared" si="12"/>
        <v>12834000000</v>
      </c>
      <c r="AG22" s="5">
        <f t="shared" si="12"/>
        <v>13248000000</v>
      </c>
      <c r="AH22" s="5">
        <f t="shared" si="12"/>
        <v>13662000000</v>
      </c>
      <c r="AI22" s="5">
        <f t="shared" si="12"/>
        <v>14076000000</v>
      </c>
      <c r="AJ22" s="5">
        <f t="shared" si="12"/>
        <v>14490000000</v>
      </c>
    </row>
    <row r="23" spans="1:36">
      <c r="A23" s="5" t="s">
        <v>69</v>
      </c>
      <c r="B23" s="5">
        <f t="shared" ref="B23:AJ23" si="13">(B10+B11)*2000000</f>
        <v>76000000</v>
      </c>
      <c r="C23" s="5">
        <f t="shared" si="13"/>
        <v>112000000</v>
      </c>
      <c r="D23" s="5">
        <f t="shared" si="13"/>
        <v>148000000</v>
      </c>
      <c r="E23" s="5">
        <f t="shared" si="13"/>
        <v>184000000</v>
      </c>
      <c r="F23" s="5">
        <f t="shared" si="13"/>
        <v>220000000</v>
      </c>
      <c r="G23" s="5">
        <f t="shared" si="13"/>
        <v>256000000</v>
      </c>
      <c r="H23" s="5">
        <f t="shared" si="13"/>
        <v>292000000</v>
      </c>
      <c r="I23" s="5">
        <f t="shared" si="13"/>
        <v>328000000</v>
      </c>
      <c r="J23" s="5">
        <f t="shared" si="13"/>
        <v>364000000</v>
      </c>
      <c r="K23" s="5">
        <f t="shared" si="13"/>
        <v>400000000</v>
      </c>
      <c r="L23" s="5">
        <f t="shared" si="13"/>
        <v>436000000</v>
      </c>
      <c r="M23" s="5">
        <f t="shared" si="13"/>
        <v>472000000</v>
      </c>
      <c r="N23" s="5">
        <f t="shared" si="13"/>
        <v>508000000</v>
      </c>
      <c r="O23" s="5">
        <f t="shared" si="13"/>
        <v>544000000</v>
      </c>
      <c r="P23" s="5">
        <f t="shared" si="13"/>
        <v>580000000</v>
      </c>
      <c r="Q23" s="5">
        <f t="shared" si="13"/>
        <v>616000000</v>
      </c>
      <c r="R23" s="5">
        <f t="shared" si="13"/>
        <v>652000000</v>
      </c>
      <c r="S23" s="5">
        <f t="shared" si="13"/>
        <v>688000000</v>
      </c>
      <c r="T23" s="5">
        <f t="shared" si="13"/>
        <v>724000000</v>
      </c>
      <c r="U23" s="5">
        <f t="shared" si="13"/>
        <v>760000000</v>
      </c>
      <c r="V23" s="5">
        <f t="shared" si="13"/>
        <v>796000000</v>
      </c>
      <c r="W23" s="5">
        <f t="shared" si="13"/>
        <v>832000000</v>
      </c>
      <c r="X23" s="5">
        <f t="shared" si="13"/>
        <v>868000000</v>
      </c>
      <c r="Y23" s="5">
        <f t="shared" si="13"/>
        <v>904000000</v>
      </c>
      <c r="Z23" s="5">
        <f t="shared" si="13"/>
        <v>940000000</v>
      </c>
      <c r="AA23" s="5">
        <f t="shared" si="13"/>
        <v>976000000</v>
      </c>
      <c r="AB23" s="5">
        <f t="shared" si="13"/>
        <v>1012000000</v>
      </c>
      <c r="AC23" s="5">
        <f t="shared" si="13"/>
        <v>1048000000</v>
      </c>
      <c r="AD23" s="6">
        <f t="shared" si="13"/>
        <v>1084000000</v>
      </c>
      <c r="AE23" s="5">
        <f t="shared" si="13"/>
        <v>1120000000</v>
      </c>
      <c r="AF23" s="5">
        <f t="shared" si="13"/>
        <v>1156000000</v>
      </c>
      <c r="AG23" s="5">
        <f t="shared" si="13"/>
        <v>1192000000</v>
      </c>
      <c r="AH23" s="5">
        <f t="shared" si="13"/>
        <v>1228000000</v>
      </c>
      <c r="AI23" s="5">
        <f t="shared" si="13"/>
        <v>1264000000</v>
      </c>
      <c r="AJ23" s="5">
        <f t="shared" si="13"/>
        <v>1300000000</v>
      </c>
    </row>
    <row r="24" spans="1:36">
      <c r="A24" s="5" t="s">
        <v>70</v>
      </c>
      <c r="B24" s="5">
        <f t="shared" ref="B24:AJ24" si="14">B11*1000000</f>
        <v>15000000</v>
      </c>
      <c r="C24" s="5">
        <f t="shared" si="14"/>
        <v>20000000</v>
      </c>
      <c r="D24" s="5">
        <f t="shared" si="14"/>
        <v>20000000</v>
      </c>
      <c r="E24" s="5">
        <f t="shared" si="14"/>
        <v>20000000</v>
      </c>
      <c r="F24" s="5">
        <f t="shared" si="14"/>
        <v>20000000</v>
      </c>
      <c r="G24" s="5">
        <f t="shared" si="14"/>
        <v>20000000</v>
      </c>
      <c r="H24" s="5">
        <f t="shared" si="14"/>
        <v>20000000</v>
      </c>
      <c r="I24" s="5">
        <f t="shared" si="14"/>
        <v>20000000</v>
      </c>
      <c r="J24" s="5">
        <f t="shared" si="14"/>
        <v>20000000</v>
      </c>
      <c r="K24" s="5">
        <f t="shared" si="14"/>
        <v>20000000</v>
      </c>
      <c r="L24" s="5">
        <f t="shared" si="14"/>
        <v>20000000</v>
      </c>
      <c r="M24" s="5">
        <f t="shared" si="14"/>
        <v>20000000</v>
      </c>
      <c r="N24" s="5">
        <f t="shared" si="14"/>
        <v>20000000</v>
      </c>
      <c r="O24" s="5">
        <f t="shared" si="14"/>
        <v>20000000</v>
      </c>
      <c r="P24" s="5">
        <f t="shared" si="14"/>
        <v>20000000</v>
      </c>
      <c r="Q24" s="5">
        <f t="shared" si="14"/>
        <v>20000000</v>
      </c>
      <c r="R24" s="5">
        <f t="shared" si="14"/>
        <v>20000000</v>
      </c>
      <c r="S24" s="5">
        <f t="shared" si="14"/>
        <v>20000000</v>
      </c>
      <c r="T24" s="5">
        <f t="shared" si="14"/>
        <v>20000000</v>
      </c>
      <c r="U24" s="5">
        <f t="shared" si="14"/>
        <v>20000000</v>
      </c>
      <c r="V24" s="5">
        <f t="shared" si="14"/>
        <v>20000000</v>
      </c>
      <c r="W24" s="5">
        <f t="shared" si="14"/>
        <v>20000000</v>
      </c>
      <c r="X24" s="5">
        <f t="shared" si="14"/>
        <v>20000000</v>
      </c>
      <c r="Y24" s="5">
        <f t="shared" si="14"/>
        <v>20000000</v>
      </c>
      <c r="Z24" s="5">
        <f t="shared" si="14"/>
        <v>20000000</v>
      </c>
      <c r="AA24" s="5">
        <f t="shared" si="14"/>
        <v>20000000</v>
      </c>
      <c r="AB24" s="5">
        <f t="shared" si="14"/>
        <v>20000000</v>
      </c>
      <c r="AC24" s="5">
        <f t="shared" si="14"/>
        <v>20000000</v>
      </c>
      <c r="AD24" s="6">
        <f t="shared" si="14"/>
        <v>20000000</v>
      </c>
      <c r="AE24" s="5">
        <f t="shared" si="14"/>
        <v>20000000</v>
      </c>
      <c r="AF24" s="5">
        <f t="shared" si="14"/>
        <v>20000000</v>
      </c>
      <c r="AG24" s="5">
        <f t="shared" si="14"/>
        <v>20000000</v>
      </c>
      <c r="AH24" s="5">
        <f t="shared" si="14"/>
        <v>20000000</v>
      </c>
      <c r="AI24" s="5">
        <f t="shared" si="14"/>
        <v>20000000</v>
      </c>
      <c r="AJ24" s="5">
        <f t="shared" si="14"/>
        <v>20000000</v>
      </c>
    </row>
    <row r="25" spans="1:36">
      <c r="A25" s="4" t="s">
        <v>71</v>
      </c>
      <c r="B25" s="5">
        <f t="shared" ref="B25:AJ25" si="15">B5*5</f>
        <v>230000000</v>
      </c>
      <c r="C25" s="5">
        <f t="shared" si="15"/>
        <v>360000000</v>
      </c>
      <c r="D25" s="5">
        <f t="shared" si="15"/>
        <v>540000000</v>
      </c>
      <c r="E25" s="5">
        <f t="shared" si="15"/>
        <v>720000000</v>
      </c>
      <c r="F25" s="5">
        <f t="shared" si="15"/>
        <v>900000000</v>
      </c>
      <c r="G25" s="5">
        <f t="shared" si="15"/>
        <v>1080000000</v>
      </c>
      <c r="H25" s="5">
        <f t="shared" si="15"/>
        <v>1260000000</v>
      </c>
      <c r="I25" s="5">
        <f t="shared" si="15"/>
        <v>1440000000</v>
      </c>
      <c r="J25" s="5">
        <f t="shared" si="15"/>
        <v>1620000000</v>
      </c>
      <c r="K25" s="5">
        <f t="shared" si="15"/>
        <v>1800000000</v>
      </c>
      <c r="L25" s="5">
        <f t="shared" si="15"/>
        <v>1980000000</v>
      </c>
      <c r="M25" s="5">
        <f t="shared" si="15"/>
        <v>2160000000</v>
      </c>
      <c r="N25" s="5">
        <f t="shared" si="15"/>
        <v>2340000000</v>
      </c>
      <c r="O25" s="5">
        <f t="shared" si="15"/>
        <v>2520000000</v>
      </c>
      <c r="P25" s="5">
        <f t="shared" si="15"/>
        <v>2700000000</v>
      </c>
      <c r="Q25" s="5">
        <f t="shared" si="15"/>
        <v>2880000000</v>
      </c>
      <c r="R25" s="5">
        <f t="shared" si="15"/>
        <v>3060000000</v>
      </c>
      <c r="S25" s="5">
        <f t="shared" si="15"/>
        <v>3240000000</v>
      </c>
      <c r="T25" s="5">
        <f t="shared" si="15"/>
        <v>3420000000</v>
      </c>
      <c r="U25" s="5">
        <f t="shared" si="15"/>
        <v>3600000000</v>
      </c>
      <c r="V25" s="5">
        <f t="shared" si="15"/>
        <v>3780000000</v>
      </c>
      <c r="W25" s="5">
        <f t="shared" si="15"/>
        <v>3960000000</v>
      </c>
      <c r="X25" s="5">
        <f t="shared" si="15"/>
        <v>4140000000</v>
      </c>
      <c r="Y25" s="5">
        <f t="shared" si="15"/>
        <v>4320000000</v>
      </c>
      <c r="Z25" s="5">
        <f t="shared" si="15"/>
        <v>4500000000</v>
      </c>
      <c r="AA25" s="5">
        <f t="shared" si="15"/>
        <v>4680000000</v>
      </c>
      <c r="AB25" s="5">
        <f t="shared" si="15"/>
        <v>4860000000</v>
      </c>
      <c r="AC25" s="5">
        <f t="shared" si="15"/>
        <v>5040000000</v>
      </c>
      <c r="AD25" s="6">
        <f t="shared" si="15"/>
        <v>5220000000</v>
      </c>
      <c r="AE25" s="5">
        <f t="shared" si="15"/>
        <v>5400000000</v>
      </c>
      <c r="AF25" s="5">
        <f t="shared" si="15"/>
        <v>5580000000</v>
      </c>
      <c r="AG25" s="5">
        <f t="shared" si="15"/>
        <v>5760000000</v>
      </c>
      <c r="AH25" s="5">
        <f t="shared" si="15"/>
        <v>5940000000</v>
      </c>
      <c r="AI25" s="5">
        <f t="shared" si="15"/>
        <v>6120000000</v>
      </c>
      <c r="AJ25" s="5">
        <f t="shared" si="15"/>
        <v>6300000000</v>
      </c>
    </row>
    <row r="26" spans="1:36">
      <c r="A26" s="4" t="s">
        <v>72</v>
      </c>
      <c r="B26" s="5">
        <f t="shared" ref="B26:AJ26" si="16">B5*80%</f>
        <v>36800000</v>
      </c>
      <c r="C26" s="5">
        <f t="shared" si="16"/>
        <v>57600000</v>
      </c>
      <c r="D26" s="5">
        <f t="shared" si="16"/>
        <v>86400000</v>
      </c>
      <c r="E26" s="5">
        <f t="shared" si="16"/>
        <v>115200000</v>
      </c>
      <c r="F26" s="5">
        <f t="shared" si="16"/>
        <v>144000000</v>
      </c>
      <c r="G26" s="5">
        <f t="shared" si="16"/>
        <v>172800000</v>
      </c>
      <c r="H26" s="5">
        <f t="shared" si="16"/>
        <v>201600000</v>
      </c>
      <c r="I26" s="5">
        <f t="shared" si="16"/>
        <v>230400000</v>
      </c>
      <c r="J26" s="5">
        <f t="shared" si="16"/>
        <v>259200000</v>
      </c>
      <c r="K26" s="5">
        <f t="shared" si="16"/>
        <v>288000000</v>
      </c>
      <c r="L26" s="5">
        <f t="shared" si="16"/>
        <v>316800000</v>
      </c>
      <c r="M26" s="5">
        <f t="shared" si="16"/>
        <v>345600000</v>
      </c>
      <c r="N26" s="5">
        <f t="shared" si="16"/>
        <v>374400000</v>
      </c>
      <c r="O26" s="5">
        <f t="shared" si="16"/>
        <v>403200000</v>
      </c>
      <c r="P26" s="5">
        <f t="shared" si="16"/>
        <v>432000000</v>
      </c>
      <c r="Q26" s="5">
        <f t="shared" si="16"/>
        <v>460800000</v>
      </c>
      <c r="R26" s="5">
        <f t="shared" si="16"/>
        <v>489600000</v>
      </c>
      <c r="S26" s="5">
        <f t="shared" si="16"/>
        <v>518400000</v>
      </c>
      <c r="T26" s="5">
        <f t="shared" si="16"/>
        <v>547200000</v>
      </c>
      <c r="U26" s="5">
        <f t="shared" si="16"/>
        <v>576000000</v>
      </c>
      <c r="V26" s="5">
        <f t="shared" si="16"/>
        <v>604800000</v>
      </c>
      <c r="W26" s="5">
        <f t="shared" si="16"/>
        <v>633600000</v>
      </c>
      <c r="X26" s="5">
        <f t="shared" si="16"/>
        <v>662400000</v>
      </c>
      <c r="Y26" s="5">
        <f t="shared" si="16"/>
        <v>691200000</v>
      </c>
      <c r="Z26" s="5">
        <f t="shared" si="16"/>
        <v>720000000</v>
      </c>
      <c r="AA26" s="5">
        <f t="shared" si="16"/>
        <v>748800000</v>
      </c>
      <c r="AB26" s="5">
        <f t="shared" si="16"/>
        <v>777600000</v>
      </c>
      <c r="AC26" s="5">
        <f t="shared" si="16"/>
        <v>806400000</v>
      </c>
      <c r="AD26" s="6">
        <f t="shared" si="16"/>
        <v>835200000</v>
      </c>
      <c r="AE26" s="5">
        <f t="shared" si="16"/>
        <v>864000000</v>
      </c>
      <c r="AF26" s="5">
        <f t="shared" si="16"/>
        <v>892800000</v>
      </c>
      <c r="AG26" s="5">
        <f t="shared" si="16"/>
        <v>921600000</v>
      </c>
      <c r="AH26" s="5">
        <f t="shared" si="16"/>
        <v>950400000</v>
      </c>
      <c r="AI26" s="5">
        <f t="shared" si="16"/>
        <v>979200000</v>
      </c>
      <c r="AJ26" s="5">
        <f t="shared" si="16"/>
        <v>1008000000</v>
      </c>
    </row>
    <row r="27" spans="1:36">
      <c r="A27" s="4" t="s">
        <v>73</v>
      </c>
      <c r="B27" s="5">
        <v>40000000</v>
      </c>
      <c r="C27" s="5">
        <v>40000000</v>
      </c>
      <c r="D27" s="5">
        <v>40000000</v>
      </c>
      <c r="E27" s="5">
        <v>40000000</v>
      </c>
      <c r="F27" s="5">
        <v>40000000</v>
      </c>
      <c r="G27" s="5">
        <v>40000000</v>
      </c>
      <c r="H27" s="5">
        <v>40000000</v>
      </c>
      <c r="I27" s="5">
        <v>40000000</v>
      </c>
      <c r="J27" s="5">
        <v>40000000</v>
      </c>
      <c r="K27" s="5">
        <v>40000000</v>
      </c>
      <c r="L27" s="5">
        <v>40000000</v>
      </c>
      <c r="M27" s="5">
        <f t="shared" ref="M27:AJ27" si="17">M5*70%</f>
        <v>302400000</v>
      </c>
      <c r="N27" s="5">
        <f t="shared" si="17"/>
        <v>327600000</v>
      </c>
      <c r="O27" s="5">
        <f t="shared" si="17"/>
        <v>352800000</v>
      </c>
      <c r="P27" s="5">
        <f t="shared" si="17"/>
        <v>378000000</v>
      </c>
      <c r="Q27" s="5">
        <f t="shared" si="17"/>
        <v>403200000</v>
      </c>
      <c r="R27" s="5">
        <f t="shared" si="17"/>
        <v>428400000</v>
      </c>
      <c r="S27" s="5">
        <f t="shared" si="17"/>
        <v>453600000</v>
      </c>
      <c r="T27" s="5">
        <f t="shared" si="17"/>
        <v>478799999.99999994</v>
      </c>
      <c r="U27" s="5">
        <f t="shared" si="17"/>
        <v>503999999.99999994</v>
      </c>
      <c r="V27" s="5">
        <f t="shared" si="17"/>
        <v>529199999.99999994</v>
      </c>
      <c r="W27" s="5">
        <f t="shared" si="17"/>
        <v>554400000</v>
      </c>
      <c r="X27" s="5">
        <f t="shared" si="17"/>
        <v>579600000</v>
      </c>
      <c r="Y27" s="5">
        <f t="shared" si="17"/>
        <v>604800000</v>
      </c>
      <c r="Z27" s="5">
        <f t="shared" si="17"/>
        <v>630000000</v>
      </c>
      <c r="AA27" s="5">
        <f t="shared" si="17"/>
        <v>655200000</v>
      </c>
      <c r="AB27" s="5">
        <f t="shared" si="17"/>
        <v>680400000</v>
      </c>
      <c r="AC27" s="5">
        <f t="shared" si="17"/>
        <v>705600000</v>
      </c>
      <c r="AD27" s="5">
        <f t="shared" si="17"/>
        <v>730800000</v>
      </c>
      <c r="AE27" s="5">
        <f t="shared" si="17"/>
        <v>756000000</v>
      </c>
      <c r="AF27" s="5">
        <f t="shared" si="17"/>
        <v>781200000</v>
      </c>
      <c r="AG27" s="5">
        <f t="shared" si="17"/>
        <v>806400000</v>
      </c>
      <c r="AH27" s="5">
        <f t="shared" si="17"/>
        <v>831600000</v>
      </c>
      <c r="AI27" s="5">
        <f t="shared" si="17"/>
        <v>856800000</v>
      </c>
      <c r="AJ27" s="5">
        <f t="shared" si="17"/>
        <v>882000000</v>
      </c>
    </row>
    <row r="28" spans="1:36">
      <c r="A28" s="5" t="s">
        <v>74</v>
      </c>
      <c r="B28" s="5">
        <f t="shared" ref="B28:AJ28" si="18">B14*3000000</f>
        <v>24000000</v>
      </c>
      <c r="C28" s="5">
        <f t="shared" si="18"/>
        <v>36000000</v>
      </c>
      <c r="D28" s="5">
        <f t="shared" si="18"/>
        <v>54000000</v>
      </c>
      <c r="E28" s="5">
        <f t="shared" si="18"/>
        <v>72000000</v>
      </c>
      <c r="F28" s="5">
        <f t="shared" si="18"/>
        <v>90000000</v>
      </c>
      <c r="G28" s="5">
        <f t="shared" si="18"/>
        <v>108000000</v>
      </c>
      <c r="H28" s="5">
        <f t="shared" si="18"/>
        <v>126000000</v>
      </c>
      <c r="I28" s="5">
        <f t="shared" si="18"/>
        <v>144000000</v>
      </c>
      <c r="J28" s="5">
        <f t="shared" si="18"/>
        <v>162000000</v>
      </c>
      <c r="K28" s="5">
        <f t="shared" si="18"/>
        <v>180000000</v>
      </c>
      <c r="L28" s="5">
        <f t="shared" si="18"/>
        <v>198000000</v>
      </c>
      <c r="M28" s="5">
        <f t="shared" si="18"/>
        <v>216000000</v>
      </c>
      <c r="N28" s="5">
        <f t="shared" si="18"/>
        <v>234000000</v>
      </c>
      <c r="O28" s="5">
        <f t="shared" si="18"/>
        <v>252000000</v>
      </c>
      <c r="P28" s="5">
        <f t="shared" si="18"/>
        <v>270000000</v>
      </c>
      <c r="Q28" s="5">
        <f t="shared" si="18"/>
        <v>288000000</v>
      </c>
      <c r="R28" s="5">
        <f t="shared" si="18"/>
        <v>306000000</v>
      </c>
      <c r="S28" s="5">
        <f t="shared" si="18"/>
        <v>324000000</v>
      </c>
      <c r="T28" s="5">
        <f t="shared" si="18"/>
        <v>342000000</v>
      </c>
      <c r="U28" s="5">
        <f t="shared" si="18"/>
        <v>360000000</v>
      </c>
      <c r="V28" s="5">
        <f t="shared" si="18"/>
        <v>378000000</v>
      </c>
      <c r="W28" s="5">
        <f t="shared" si="18"/>
        <v>396000000</v>
      </c>
      <c r="X28" s="5">
        <f t="shared" si="18"/>
        <v>414000000</v>
      </c>
      <c r="Y28" s="5">
        <f t="shared" si="18"/>
        <v>432000000</v>
      </c>
      <c r="Z28" s="5">
        <f t="shared" si="18"/>
        <v>450000000</v>
      </c>
      <c r="AA28" s="5">
        <f t="shared" si="18"/>
        <v>468000000</v>
      </c>
      <c r="AB28" s="5">
        <f t="shared" si="18"/>
        <v>486000000</v>
      </c>
      <c r="AC28" s="5">
        <f t="shared" si="18"/>
        <v>504000000</v>
      </c>
      <c r="AD28" s="6">
        <f t="shared" si="18"/>
        <v>522000000</v>
      </c>
      <c r="AE28" s="5">
        <f t="shared" si="18"/>
        <v>540000000</v>
      </c>
      <c r="AF28" s="5">
        <f t="shared" si="18"/>
        <v>558000000</v>
      </c>
      <c r="AG28" s="5">
        <f t="shared" si="18"/>
        <v>576000000</v>
      </c>
      <c r="AH28" s="5">
        <f t="shared" si="18"/>
        <v>594000000</v>
      </c>
      <c r="AI28" s="5">
        <f t="shared" si="18"/>
        <v>612000000</v>
      </c>
      <c r="AJ28" s="5">
        <f t="shared" si="18"/>
        <v>630000000</v>
      </c>
    </row>
    <row r="29" spans="1:36">
      <c r="A29" s="5" t="s">
        <v>75</v>
      </c>
      <c r="B29" s="5">
        <f t="shared" ref="B29:AJ29" si="19">B15*500000</f>
        <v>2000000</v>
      </c>
      <c r="C29" s="5">
        <f t="shared" si="19"/>
        <v>3000000</v>
      </c>
      <c r="D29" s="5">
        <f t="shared" si="19"/>
        <v>3000000</v>
      </c>
      <c r="E29" s="5">
        <f t="shared" si="19"/>
        <v>3000000</v>
      </c>
      <c r="F29" s="5">
        <f t="shared" si="19"/>
        <v>3000000</v>
      </c>
      <c r="G29" s="5">
        <f t="shared" si="19"/>
        <v>3000000</v>
      </c>
      <c r="H29" s="5">
        <f t="shared" si="19"/>
        <v>3000000</v>
      </c>
      <c r="I29" s="5">
        <f t="shared" si="19"/>
        <v>3000000</v>
      </c>
      <c r="J29" s="5">
        <f t="shared" si="19"/>
        <v>3000000</v>
      </c>
      <c r="K29" s="5">
        <f t="shared" si="19"/>
        <v>3000000</v>
      </c>
      <c r="L29" s="5">
        <f t="shared" si="19"/>
        <v>3000000</v>
      </c>
      <c r="M29" s="5">
        <f t="shared" si="19"/>
        <v>3000000</v>
      </c>
      <c r="N29" s="5">
        <f t="shared" si="19"/>
        <v>3000000</v>
      </c>
      <c r="O29" s="5">
        <f t="shared" si="19"/>
        <v>3000000</v>
      </c>
      <c r="P29" s="5">
        <f t="shared" si="19"/>
        <v>3000000</v>
      </c>
      <c r="Q29" s="5">
        <f t="shared" si="19"/>
        <v>3000000</v>
      </c>
      <c r="R29" s="5">
        <f t="shared" si="19"/>
        <v>3000000</v>
      </c>
      <c r="S29" s="5">
        <f t="shared" si="19"/>
        <v>3000000</v>
      </c>
      <c r="T29" s="5">
        <f t="shared" si="19"/>
        <v>3000000</v>
      </c>
      <c r="U29" s="5">
        <f t="shared" si="19"/>
        <v>3000000</v>
      </c>
      <c r="V29" s="5">
        <f t="shared" si="19"/>
        <v>3000000</v>
      </c>
      <c r="W29" s="5">
        <f t="shared" si="19"/>
        <v>3000000</v>
      </c>
      <c r="X29" s="5">
        <f t="shared" si="19"/>
        <v>3000000</v>
      </c>
      <c r="Y29" s="5">
        <f t="shared" si="19"/>
        <v>3000000</v>
      </c>
      <c r="Z29" s="5">
        <f t="shared" si="19"/>
        <v>3000000</v>
      </c>
      <c r="AA29" s="5">
        <f t="shared" si="19"/>
        <v>3000000</v>
      </c>
      <c r="AB29" s="5">
        <f t="shared" si="19"/>
        <v>3000000</v>
      </c>
      <c r="AC29" s="5">
        <f t="shared" si="19"/>
        <v>3000000</v>
      </c>
      <c r="AD29" s="6">
        <f t="shared" si="19"/>
        <v>3000000</v>
      </c>
      <c r="AE29" s="5">
        <f t="shared" si="19"/>
        <v>3000000</v>
      </c>
      <c r="AF29" s="5">
        <f t="shared" si="19"/>
        <v>3000000</v>
      </c>
      <c r="AG29" s="5">
        <f t="shared" si="19"/>
        <v>3000000</v>
      </c>
      <c r="AH29" s="5">
        <f t="shared" si="19"/>
        <v>3000000</v>
      </c>
      <c r="AI29" s="5">
        <f t="shared" si="19"/>
        <v>3000000</v>
      </c>
      <c r="AJ29" s="5">
        <f t="shared" si="19"/>
        <v>3000000</v>
      </c>
    </row>
    <row r="30" spans="1:36">
      <c r="A30" s="4" t="s">
        <v>76</v>
      </c>
      <c r="B30" s="5">
        <f t="shared" ref="B30:AJ30" si="20">B17*4000000</f>
        <v>0</v>
      </c>
      <c r="C30" s="5">
        <f t="shared" si="20"/>
        <v>0</v>
      </c>
      <c r="D30" s="5">
        <f t="shared" si="20"/>
        <v>8000000</v>
      </c>
      <c r="E30" s="5">
        <f t="shared" si="20"/>
        <v>12000000</v>
      </c>
      <c r="F30" s="5">
        <f t="shared" si="20"/>
        <v>12000000</v>
      </c>
      <c r="G30" s="5">
        <f t="shared" si="20"/>
        <v>16000000</v>
      </c>
      <c r="H30" s="5">
        <f t="shared" si="20"/>
        <v>16000000</v>
      </c>
      <c r="I30" s="5">
        <f t="shared" si="20"/>
        <v>20000000</v>
      </c>
      <c r="J30" s="5">
        <f t="shared" si="20"/>
        <v>24000000</v>
      </c>
      <c r="K30" s="5">
        <f t="shared" si="20"/>
        <v>24000000</v>
      </c>
      <c r="L30" s="5">
        <f t="shared" si="20"/>
        <v>28000000</v>
      </c>
      <c r="M30" s="5">
        <f t="shared" si="20"/>
        <v>28000000</v>
      </c>
      <c r="N30" s="5">
        <f t="shared" si="20"/>
        <v>32000000</v>
      </c>
      <c r="O30" s="5">
        <f t="shared" si="20"/>
        <v>36000000</v>
      </c>
      <c r="P30" s="5">
        <f t="shared" si="20"/>
        <v>36000000</v>
      </c>
      <c r="Q30" s="5">
        <f t="shared" si="20"/>
        <v>40000000</v>
      </c>
      <c r="R30" s="5">
        <f t="shared" si="20"/>
        <v>44000000</v>
      </c>
      <c r="S30" s="5">
        <f t="shared" si="20"/>
        <v>44000000</v>
      </c>
      <c r="T30" s="5">
        <f t="shared" si="20"/>
        <v>48000000</v>
      </c>
      <c r="U30" s="5">
        <f t="shared" si="20"/>
        <v>48000000</v>
      </c>
      <c r="V30" s="5">
        <f t="shared" si="20"/>
        <v>52000000</v>
      </c>
      <c r="W30" s="5">
        <f t="shared" si="20"/>
        <v>56000000</v>
      </c>
      <c r="X30" s="5">
        <f t="shared" si="20"/>
        <v>56000000</v>
      </c>
      <c r="Y30" s="5">
        <f t="shared" si="20"/>
        <v>60000000</v>
      </c>
      <c r="Z30" s="5">
        <f t="shared" si="20"/>
        <v>60000000</v>
      </c>
      <c r="AA30" s="5">
        <f t="shared" si="20"/>
        <v>64000000</v>
      </c>
      <c r="AB30" s="5">
        <f t="shared" si="20"/>
        <v>68000000</v>
      </c>
      <c r="AC30" s="5">
        <f t="shared" si="20"/>
        <v>68000000</v>
      </c>
      <c r="AD30" s="6">
        <f t="shared" si="20"/>
        <v>72000000</v>
      </c>
      <c r="AE30" s="5">
        <f t="shared" si="20"/>
        <v>72000000</v>
      </c>
      <c r="AF30" s="5">
        <f t="shared" si="20"/>
        <v>76000000</v>
      </c>
      <c r="AG30" s="5">
        <f t="shared" si="20"/>
        <v>80000000</v>
      </c>
      <c r="AH30" s="5">
        <f t="shared" si="20"/>
        <v>80000000</v>
      </c>
      <c r="AI30" s="5">
        <f t="shared" si="20"/>
        <v>84000000</v>
      </c>
      <c r="AJ30" s="5">
        <f t="shared" si="20"/>
        <v>88000000</v>
      </c>
    </row>
    <row r="31" spans="1:36">
      <c r="A31" s="4" t="s">
        <v>77</v>
      </c>
      <c r="B31" s="5">
        <v>10000000</v>
      </c>
      <c r="C31" s="5">
        <v>10000000</v>
      </c>
      <c r="D31" s="5">
        <v>10000000</v>
      </c>
      <c r="E31" s="5">
        <v>10000000</v>
      </c>
      <c r="F31" s="5">
        <v>10000000</v>
      </c>
      <c r="G31" s="5">
        <v>10000000</v>
      </c>
      <c r="H31" s="5">
        <v>10000000</v>
      </c>
      <c r="I31" s="5">
        <v>10000000</v>
      </c>
      <c r="J31" s="5">
        <v>10000000</v>
      </c>
      <c r="K31" s="5">
        <v>10000000</v>
      </c>
      <c r="L31" s="5">
        <v>10000000</v>
      </c>
      <c r="M31" s="5">
        <v>10000000</v>
      </c>
      <c r="N31" s="5">
        <v>10000000</v>
      </c>
      <c r="O31" s="5">
        <v>10000000</v>
      </c>
      <c r="P31" s="5">
        <v>10000000</v>
      </c>
      <c r="Q31" s="5">
        <v>10000000</v>
      </c>
      <c r="R31" s="5">
        <v>10000000</v>
      </c>
      <c r="S31" s="5">
        <v>10000000</v>
      </c>
      <c r="T31" s="5">
        <v>10000000</v>
      </c>
      <c r="U31" s="5">
        <v>10000000</v>
      </c>
      <c r="V31" s="5">
        <v>10000000</v>
      </c>
      <c r="W31" s="5">
        <v>10000000</v>
      </c>
      <c r="X31" s="5">
        <v>10000000</v>
      </c>
      <c r="Y31" s="5">
        <v>10000000</v>
      </c>
      <c r="Z31" s="5">
        <v>10000000</v>
      </c>
      <c r="AA31" s="5">
        <v>10000000</v>
      </c>
      <c r="AB31" s="5">
        <v>10000000</v>
      </c>
      <c r="AC31" s="5">
        <v>10000000</v>
      </c>
      <c r="AD31" s="6">
        <v>10000000</v>
      </c>
      <c r="AE31" s="5">
        <v>10000000</v>
      </c>
      <c r="AF31" s="5">
        <v>10000000</v>
      </c>
      <c r="AG31" s="5">
        <v>10000000</v>
      </c>
      <c r="AH31" s="5">
        <v>10000000</v>
      </c>
      <c r="AI31" s="5">
        <v>10000000</v>
      </c>
      <c r="AJ31" s="5">
        <v>10000000</v>
      </c>
    </row>
    <row r="32" spans="1:36">
      <c r="A32" s="4" t="s">
        <v>78</v>
      </c>
      <c r="B32" s="5">
        <f t="shared" ref="B32:AJ32" si="21">B18*3000000</f>
        <v>9000000</v>
      </c>
      <c r="C32" s="5">
        <f t="shared" si="21"/>
        <v>15000000</v>
      </c>
      <c r="D32" s="5">
        <f t="shared" si="21"/>
        <v>18000000</v>
      </c>
      <c r="E32" s="5">
        <f t="shared" si="21"/>
        <v>24000000</v>
      </c>
      <c r="F32" s="5">
        <f t="shared" si="21"/>
        <v>30000000</v>
      </c>
      <c r="G32" s="5">
        <f t="shared" si="21"/>
        <v>36000000</v>
      </c>
      <c r="H32" s="5">
        <f t="shared" si="21"/>
        <v>42000000</v>
      </c>
      <c r="I32" s="5">
        <f t="shared" si="21"/>
        <v>48000000</v>
      </c>
      <c r="J32" s="5">
        <f t="shared" si="21"/>
        <v>54000000</v>
      </c>
      <c r="K32" s="5">
        <f t="shared" si="21"/>
        <v>60000000</v>
      </c>
      <c r="L32" s="5">
        <f t="shared" si="21"/>
        <v>66000000</v>
      </c>
      <c r="M32" s="5">
        <f t="shared" si="21"/>
        <v>72000000</v>
      </c>
      <c r="N32" s="5">
        <f t="shared" si="21"/>
        <v>78000000</v>
      </c>
      <c r="O32" s="5">
        <f t="shared" si="21"/>
        <v>84000000</v>
      </c>
      <c r="P32" s="5">
        <f t="shared" si="21"/>
        <v>90000000</v>
      </c>
      <c r="Q32" s="5">
        <f t="shared" si="21"/>
        <v>96000000</v>
      </c>
      <c r="R32" s="5">
        <f t="shared" si="21"/>
        <v>102000000</v>
      </c>
      <c r="S32" s="5">
        <f t="shared" si="21"/>
        <v>108000000</v>
      </c>
      <c r="T32" s="5">
        <f t="shared" si="21"/>
        <v>114000000</v>
      </c>
      <c r="U32" s="5">
        <f t="shared" si="21"/>
        <v>120000000</v>
      </c>
      <c r="V32" s="5">
        <f t="shared" si="21"/>
        <v>126000000</v>
      </c>
      <c r="W32" s="5">
        <f t="shared" si="21"/>
        <v>132000000</v>
      </c>
      <c r="X32" s="5">
        <f t="shared" si="21"/>
        <v>138000000</v>
      </c>
      <c r="Y32" s="5">
        <f t="shared" si="21"/>
        <v>144000000</v>
      </c>
      <c r="Z32" s="5">
        <f t="shared" si="21"/>
        <v>150000000</v>
      </c>
      <c r="AA32" s="5">
        <f t="shared" si="21"/>
        <v>156000000</v>
      </c>
      <c r="AB32" s="5">
        <f t="shared" si="21"/>
        <v>162000000</v>
      </c>
      <c r="AC32" s="5">
        <f t="shared" si="21"/>
        <v>168000000</v>
      </c>
      <c r="AD32" s="6">
        <f t="shared" si="21"/>
        <v>174000000</v>
      </c>
      <c r="AE32" s="5">
        <f t="shared" si="21"/>
        <v>180000000</v>
      </c>
      <c r="AF32" s="5">
        <f t="shared" si="21"/>
        <v>186000000</v>
      </c>
      <c r="AG32" s="5">
        <f t="shared" si="21"/>
        <v>192000000</v>
      </c>
      <c r="AH32" s="5">
        <f t="shared" si="21"/>
        <v>198000000</v>
      </c>
      <c r="AI32" s="5">
        <f t="shared" si="21"/>
        <v>204000000</v>
      </c>
      <c r="AJ32" s="5">
        <f t="shared" si="21"/>
        <v>210000000</v>
      </c>
    </row>
    <row r="33" spans="1:36">
      <c r="A33" s="4" t="s">
        <v>79</v>
      </c>
      <c r="B33" s="5">
        <v>30000000</v>
      </c>
      <c r="C33" s="5">
        <v>70000000</v>
      </c>
      <c r="D33" s="5">
        <f t="shared" ref="D33:AJ33" si="22">C33+30000000</f>
        <v>100000000</v>
      </c>
      <c r="E33" s="5">
        <f t="shared" si="22"/>
        <v>130000000</v>
      </c>
      <c r="F33" s="5">
        <f t="shared" si="22"/>
        <v>160000000</v>
      </c>
      <c r="G33" s="5">
        <f t="shared" si="22"/>
        <v>190000000</v>
      </c>
      <c r="H33" s="5">
        <f t="shared" si="22"/>
        <v>220000000</v>
      </c>
      <c r="I33" s="5">
        <f t="shared" si="22"/>
        <v>250000000</v>
      </c>
      <c r="J33" s="5">
        <f t="shared" si="22"/>
        <v>280000000</v>
      </c>
      <c r="K33" s="5">
        <f t="shared" si="22"/>
        <v>310000000</v>
      </c>
      <c r="L33" s="5">
        <f t="shared" si="22"/>
        <v>340000000</v>
      </c>
      <c r="M33" s="5">
        <f t="shared" si="22"/>
        <v>370000000</v>
      </c>
      <c r="N33" s="5">
        <f t="shared" si="22"/>
        <v>400000000</v>
      </c>
      <c r="O33" s="5">
        <f t="shared" si="22"/>
        <v>430000000</v>
      </c>
      <c r="P33" s="5">
        <f t="shared" si="22"/>
        <v>460000000</v>
      </c>
      <c r="Q33" s="5">
        <f t="shared" si="22"/>
        <v>490000000</v>
      </c>
      <c r="R33" s="5">
        <f t="shared" si="22"/>
        <v>520000000</v>
      </c>
      <c r="S33" s="5">
        <f t="shared" si="22"/>
        <v>550000000</v>
      </c>
      <c r="T33" s="5">
        <f t="shared" si="22"/>
        <v>580000000</v>
      </c>
      <c r="U33" s="5">
        <f t="shared" si="22"/>
        <v>610000000</v>
      </c>
      <c r="V33" s="5">
        <f t="shared" si="22"/>
        <v>640000000</v>
      </c>
      <c r="W33" s="5">
        <f t="shared" si="22"/>
        <v>670000000</v>
      </c>
      <c r="X33" s="5">
        <f t="shared" si="22"/>
        <v>700000000</v>
      </c>
      <c r="Y33" s="5">
        <f t="shared" si="22"/>
        <v>730000000</v>
      </c>
      <c r="Z33" s="5">
        <f t="shared" si="22"/>
        <v>760000000</v>
      </c>
      <c r="AA33" s="5">
        <f t="shared" si="22"/>
        <v>790000000</v>
      </c>
      <c r="AB33" s="5">
        <f t="shared" si="22"/>
        <v>820000000</v>
      </c>
      <c r="AC33" s="5">
        <f t="shared" si="22"/>
        <v>850000000</v>
      </c>
      <c r="AD33" s="6">
        <f t="shared" si="22"/>
        <v>880000000</v>
      </c>
      <c r="AE33" s="5">
        <f t="shared" si="22"/>
        <v>910000000</v>
      </c>
      <c r="AF33" s="5">
        <f t="shared" si="22"/>
        <v>940000000</v>
      </c>
      <c r="AG33" s="5">
        <f t="shared" si="22"/>
        <v>970000000</v>
      </c>
      <c r="AH33" s="5">
        <f t="shared" si="22"/>
        <v>1000000000</v>
      </c>
      <c r="AI33" s="5">
        <f t="shared" si="22"/>
        <v>1030000000</v>
      </c>
      <c r="AJ33" s="5">
        <f t="shared" si="22"/>
        <v>1060000000</v>
      </c>
    </row>
    <row r="34" spans="1:36">
      <c r="A34" s="4" t="s">
        <v>80</v>
      </c>
      <c r="B34" s="5">
        <f t="shared" ref="B34:AJ34" si="23">B20*100000</f>
        <v>115000000</v>
      </c>
      <c r="C34" s="5">
        <f t="shared" si="23"/>
        <v>180000000</v>
      </c>
      <c r="D34" s="5">
        <f t="shared" si="23"/>
        <v>270000000</v>
      </c>
      <c r="E34" s="5">
        <f t="shared" si="23"/>
        <v>360000000</v>
      </c>
      <c r="F34" s="5">
        <f t="shared" si="23"/>
        <v>450000000</v>
      </c>
      <c r="G34" s="5">
        <f t="shared" si="23"/>
        <v>540000000</v>
      </c>
      <c r="H34" s="5">
        <f t="shared" si="23"/>
        <v>630000000</v>
      </c>
      <c r="I34" s="5">
        <f t="shared" si="23"/>
        <v>720000000</v>
      </c>
      <c r="J34" s="5">
        <f t="shared" si="23"/>
        <v>810000000</v>
      </c>
      <c r="K34" s="5">
        <f t="shared" si="23"/>
        <v>900000000</v>
      </c>
      <c r="L34" s="5">
        <f t="shared" si="23"/>
        <v>990000000</v>
      </c>
      <c r="M34" s="5">
        <f t="shared" si="23"/>
        <v>1080000000</v>
      </c>
      <c r="N34" s="5">
        <f t="shared" si="23"/>
        <v>1170000000</v>
      </c>
      <c r="O34" s="5">
        <f t="shared" si="23"/>
        <v>1260000000</v>
      </c>
      <c r="P34" s="5">
        <f t="shared" si="23"/>
        <v>1350000000</v>
      </c>
      <c r="Q34" s="5">
        <f t="shared" si="23"/>
        <v>1440000000</v>
      </c>
      <c r="R34" s="5">
        <f t="shared" si="23"/>
        <v>1530000000</v>
      </c>
      <c r="S34" s="5">
        <f t="shared" si="23"/>
        <v>1620000000</v>
      </c>
      <c r="T34" s="5">
        <f t="shared" si="23"/>
        <v>1710000000</v>
      </c>
      <c r="U34" s="5">
        <f t="shared" si="23"/>
        <v>1800000000</v>
      </c>
      <c r="V34" s="5">
        <f t="shared" si="23"/>
        <v>1890000000</v>
      </c>
      <c r="W34" s="5">
        <f t="shared" si="23"/>
        <v>1980000000</v>
      </c>
      <c r="X34" s="5">
        <f t="shared" si="23"/>
        <v>2070000000</v>
      </c>
      <c r="Y34" s="5">
        <f t="shared" si="23"/>
        <v>2160000000</v>
      </c>
      <c r="Z34" s="5">
        <f t="shared" si="23"/>
        <v>2250000000</v>
      </c>
      <c r="AA34" s="5">
        <f t="shared" si="23"/>
        <v>2340000000</v>
      </c>
      <c r="AB34" s="5">
        <f t="shared" si="23"/>
        <v>2430000000</v>
      </c>
      <c r="AC34" s="5">
        <f t="shared" si="23"/>
        <v>2520000000</v>
      </c>
      <c r="AD34" s="5">
        <f t="shared" si="23"/>
        <v>2610000000</v>
      </c>
      <c r="AE34" s="5">
        <f t="shared" si="23"/>
        <v>2700000000</v>
      </c>
      <c r="AF34" s="5">
        <f t="shared" si="23"/>
        <v>2790000000</v>
      </c>
      <c r="AG34" s="5">
        <f t="shared" si="23"/>
        <v>2880000000</v>
      </c>
      <c r="AH34" s="5">
        <f t="shared" si="23"/>
        <v>2970000000</v>
      </c>
      <c r="AI34" s="5">
        <f t="shared" si="23"/>
        <v>3060000000</v>
      </c>
      <c r="AJ34" s="5">
        <f t="shared" si="23"/>
        <v>3150000000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2026-02-22T04:51:37Z</dcterms:created>
  <dcterms:modified xsi:type="dcterms:W3CDTF">2026-02-22T04:51:48Z</dcterms:modified>
</cp:coreProperties>
</file>